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D:\_Work\_space\UiPath\RPA Challenge\sequences\human_sim\"/>
    </mc:Choice>
  </mc:AlternateContent>
  <xr:revisionPtr revIDLastSave="0" documentId="13_ncr:1_{F85E2A8A-73B8-4AE2-A025-CE4AE856EA97}" xr6:coauthVersionLast="47" xr6:coauthVersionMax="47" xr10:uidLastSave="{00000000-0000-0000-0000-000000000000}"/>
  <bookViews>
    <workbookView xWindow="28680" yWindow="-120" windowWidth="29040" windowHeight="15720" xr2:uid="{F10178C3-1552-468E-A70B-2B6546735EFF}"/>
  </bookViews>
  <sheets>
    <sheet name="logs" sheetId="1" r:id="rId1"/>
  </sheets>
  <definedNames>
    <definedName name="_xlnm._FilterDatabase" localSheetId="0" hidden="1">logs!$A$1:$G$43</definedName>
  </definedNames>
  <calcPr calcId="181029"/>
  <pivotCaches>
    <pivotCache cacheId="0" r:id="rId2"/>
  </pivotCaches>
</workbook>
</file>

<file path=xl/calcChain.xml><?xml version="1.0" encoding="utf-8"?>
<calcChain xmlns="http://schemas.openxmlformats.org/spreadsheetml/2006/main">
  <c r="K2" i="1" l="1"/>
  <c r="V2" i="1"/>
</calcChain>
</file>

<file path=xl/sharedStrings.xml><?xml version="1.0" encoding="utf-8"?>
<sst xmlns="http://schemas.openxmlformats.org/spreadsheetml/2006/main" count="15" uniqueCount="14">
  <si>
    <t>Day</t>
  </si>
  <si>
    <t>Energy</t>
  </si>
  <si>
    <t>Money</t>
  </si>
  <si>
    <t>TimeWorked</t>
  </si>
  <si>
    <t>TotalMoneyIn</t>
  </si>
  <si>
    <t>TotalMoneyOut</t>
  </si>
  <si>
    <t>Count</t>
  </si>
  <si>
    <t>Hours Worked</t>
  </si>
  <si>
    <t>HoursSlept</t>
  </si>
  <si>
    <t>Total général</t>
  </si>
  <si>
    <t>Hours Slept</t>
  </si>
  <si>
    <t>Last Saved Money</t>
  </si>
  <si>
    <t>Mean Energy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</si>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</sst>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28"/>
      <color theme="4" tint="-0.249977111117893"/>
      <name val="Aptos Narrow"/>
      <family val="2"/>
      <scheme val="minor"/>
    </font>
    <font>
      <sz val="11"/>
      <color theme="9" tint="0.39997558519241921"/>
      <name val="Aptos Narrow"/>
      <family val="2"/>
      <scheme val="minor"/>
    </font>
    <font>
      <sz val="28"/>
      <color theme="9" tint="-0.249977111117893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0" fillId="34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/>
    </xf>
    <xf numFmtId="2" fontId="18" fillId="33" borderId="0" xfId="0" applyNumberFormat="1" applyFont="1" applyFill="1" applyAlignment="1">
      <alignment horizontal="center" vertical="center"/>
    </xf>
    <xf numFmtId="0" fontId="21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 u="sng"/>
              <a:t>Stats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logs!$B$1</c:f>
              <c:strCache>
                <c:ptCount val="1"/>
                <c:pt idx="0">
                  <c:v>Energy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logs!$A$2:$A$43</c:f>
              <c:numCache>
                <c:formatCode>General</c:formatCode>
                <c:ptCount val="4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xVal>
          <c:yVal>
            <c:numRef>
              <c:f>logs!$B$2:$B$43</c:f>
              <c:numCache>
                <c:formatCode>General</c:formatCode>
                <c:ptCount val="42"/>
                <c:pt idx="0">
                  <c:v>250</c:v>
                </c:pt>
                <c:pt idx="1">
                  <c:v>220.5</c:v>
                </c:pt>
                <c:pt idx="2">
                  <c:v>191</c:v>
                </c:pt>
                <c:pt idx="3">
                  <c:v>213.5</c:v>
                </c:pt>
                <c:pt idx="4">
                  <c:v>199.5</c:v>
                </c:pt>
                <c:pt idx="5">
                  <c:v>195</c:v>
                </c:pt>
                <c:pt idx="6">
                  <c:v>181</c:v>
                </c:pt>
                <c:pt idx="7">
                  <c:v>187</c:v>
                </c:pt>
                <c:pt idx="8">
                  <c:v>197</c:v>
                </c:pt>
                <c:pt idx="9">
                  <c:v>183.5</c:v>
                </c:pt>
                <c:pt idx="10">
                  <c:v>191</c:v>
                </c:pt>
                <c:pt idx="11">
                  <c:v>199.5</c:v>
                </c:pt>
                <c:pt idx="12">
                  <c:v>200.5</c:v>
                </c:pt>
                <c:pt idx="13">
                  <c:v>225</c:v>
                </c:pt>
                <c:pt idx="14">
                  <c:v>248</c:v>
                </c:pt>
                <c:pt idx="15">
                  <c:v>234.5</c:v>
                </c:pt>
                <c:pt idx="16">
                  <c:v>243.5</c:v>
                </c:pt>
                <c:pt idx="17">
                  <c:v>242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216</c:v>
                </c:pt>
                <c:pt idx="22">
                  <c:v>247.5</c:v>
                </c:pt>
                <c:pt idx="23">
                  <c:v>216</c:v>
                </c:pt>
                <c:pt idx="24">
                  <c:v>235.5</c:v>
                </c:pt>
                <c:pt idx="25">
                  <c:v>214</c:v>
                </c:pt>
                <c:pt idx="26">
                  <c:v>233</c:v>
                </c:pt>
                <c:pt idx="27">
                  <c:v>220</c:v>
                </c:pt>
                <c:pt idx="28">
                  <c:v>174</c:v>
                </c:pt>
                <c:pt idx="29">
                  <c:v>166.5</c:v>
                </c:pt>
                <c:pt idx="30">
                  <c:v>169</c:v>
                </c:pt>
                <c:pt idx="31">
                  <c:v>173.5</c:v>
                </c:pt>
                <c:pt idx="32">
                  <c:v>189</c:v>
                </c:pt>
                <c:pt idx="33">
                  <c:v>240.5</c:v>
                </c:pt>
                <c:pt idx="34">
                  <c:v>232.5</c:v>
                </c:pt>
                <c:pt idx="35">
                  <c:v>250</c:v>
                </c:pt>
                <c:pt idx="36">
                  <c:v>244.5</c:v>
                </c:pt>
                <c:pt idx="37">
                  <c:v>215</c:v>
                </c:pt>
                <c:pt idx="38">
                  <c:v>215.5</c:v>
                </c:pt>
                <c:pt idx="39">
                  <c:v>232.5</c:v>
                </c:pt>
                <c:pt idx="40">
                  <c:v>250</c:v>
                </c:pt>
                <c:pt idx="41">
                  <c:v>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7-41D3-8605-23196C481BA8}"/>
            </c:ext>
          </c:extLst>
        </c:ser>
        <c:ser>
          <c:idx val="1"/>
          <c:order val="1"/>
          <c:tx>
            <c:strRef>
              <c:f>logs!$C$1</c:f>
              <c:strCache>
                <c:ptCount val="1"/>
                <c:pt idx="0">
                  <c:v>Money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logs!$A$2:$A$43</c:f>
              <c:numCache>
                <c:formatCode>General</c:formatCode>
                <c:ptCount val="4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xVal>
          <c:yVal>
            <c:numRef>
              <c:f>logs!$C$2:$C$43</c:f>
              <c:numCache>
                <c:formatCode>General</c:formatCode>
                <c:ptCount val="42"/>
                <c:pt idx="0">
                  <c:v>250</c:v>
                </c:pt>
                <c:pt idx="1">
                  <c:v>360</c:v>
                </c:pt>
                <c:pt idx="2">
                  <c:v>470</c:v>
                </c:pt>
                <c:pt idx="3">
                  <c:v>510</c:v>
                </c:pt>
                <c:pt idx="4">
                  <c:v>595</c:v>
                </c:pt>
                <c:pt idx="5">
                  <c:v>705</c:v>
                </c:pt>
                <c:pt idx="6">
                  <c:v>790</c:v>
                </c:pt>
                <c:pt idx="7">
                  <c:v>855</c:v>
                </c:pt>
                <c:pt idx="8">
                  <c:v>905</c:v>
                </c:pt>
                <c:pt idx="9">
                  <c:v>985</c:v>
                </c:pt>
                <c:pt idx="10">
                  <c:v>1080</c:v>
                </c:pt>
                <c:pt idx="11">
                  <c:v>1125</c:v>
                </c:pt>
                <c:pt idx="12">
                  <c:v>1215</c:v>
                </c:pt>
                <c:pt idx="13">
                  <c:v>1265</c:v>
                </c:pt>
                <c:pt idx="14">
                  <c:v>1345</c:v>
                </c:pt>
                <c:pt idx="15">
                  <c:v>1435</c:v>
                </c:pt>
                <c:pt idx="16">
                  <c:v>1510</c:v>
                </c:pt>
                <c:pt idx="17">
                  <c:v>1595</c:v>
                </c:pt>
                <c:pt idx="18">
                  <c:v>1645</c:v>
                </c:pt>
                <c:pt idx="19">
                  <c:v>1705</c:v>
                </c:pt>
                <c:pt idx="20">
                  <c:v>1765</c:v>
                </c:pt>
                <c:pt idx="21">
                  <c:v>1860</c:v>
                </c:pt>
                <c:pt idx="22">
                  <c:v>1930</c:v>
                </c:pt>
                <c:pt idx="23">
                  <c:v>2030</c:v>
                </c:pt>
                <c:pt idx="24">
                  <c:v>2095</c:v>
                </c:pt>
                <c:pt idx="25">
                  <c:v>2190</c:v>
                </c:pt>
                <c:pt idx="26">
                  <c:v>2260</c:v>
                </c:pt>
                <c:pt idx="27">
                  <c:v>2370</c:v>
                </c:pt>
                <c:pt idx="28">
                  <c:v>2480</c:v>
                </c:pt>
                <c:pt idx="29">
                  <c:v>2570</c:v>
                </c:pt>
                <c:pt idx="30">
                  <c:v>2640</c:v>
                </c:pt>
                <c:pt idx="31">
                  <c:v>2700</c:v>
                </c:pt>
                <c:pt idx="32">
                  <c:v>2780</c:v>
                </c:pt>
                <c:pt idx="33">
                  <c:v>2840</c:v>
                </c:pt>
                <c:pt idx="34">
                  <c:v>2900</c:v>
                </c:pt>
                <c:pt idx="35">
                  <c:v>2975</c:v>
                </c:pt>
                <c:pt idx="36">
                  <c:v>3040</c:v>
                </c:pt>
                <c:pt idx="37">
                  <c:v>3150</c:v>
                </c:pt>
                <c:pt idx="38">
                  <c:v>3235</c:v>
                </c:pt>
                <c:pt idx="39">
                  <c:v>3305</c:v>
                </c:pt>
                <c:pt idx="40">
                  <c:v>3390</c:v>
                </c:pt>
                <c:pt idx="41">
                  <c:v>3465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17-41D3-8605-23196C481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3045743"/>
        <c:axId val="873047183"/>
      </c:scatterChart>
      <c:valAx>
        <c:axId val="87304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3047183"/>
        <c:crosses val="autoZero"/>
        <c:crossBetween val="midCat"/>
      </c:valAx>
      <c:valAx>
        <c:axId val="87304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73045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M" u="sng"/>
              <a:t>Operations Evolution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logs!$E$1</c:f>
              <c:strCache>
                <c:ptCount val="1"/>
                <c:pt idx="0">
                  <c:v>TotalMoneyIn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logs!$A$2:$A$43</c:f>
              <c:numCache>
                <c:formatCode>General</c:formatCode>
                <c:ptCount val="4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xVal>
          <c:yVal>
            <c:numRef>
              <c:f>logs!$E$2:$E$43</c:f>
              <c:numCache>
                <c:formatCode>General</c:formatCode>
                <c:ptCount val="42"/>
                <c:pt idx="0">
                  <c:v>0</c:v>
                </c:pt>
                <c:pt idx="1">
                  <c:v>120</c:v>
                </c:pt>
                <c:pt idx="2">
                  <c:v>240</c:v>
                </c:pt>
                <c:pt idx="3">
                  <c:v>300</c:v>
                </c:pt>
                <c:pt idx="4">
                  <c:v>405</c:v>
                </c:pt>
                <c:pt idx="5">
                  <c:v>525</c:v>
                </c:pt>
                <c:pt idx="6">
                  <c:v>630</c:v>
                </c:pt>
                <c:pt idx="7">
                  <c:v>720</c:v>
                </c:pt>
                <c:pt idx="8">
                  <c:v>795</c:v>
                </c:pt>
                <c:pt idx="9">
                  <c:v>885</c:v>
                </c:pt>
                <c:pt idx="10">
                  <c:v>990</c:v>
                </c:pt>
                <c:pt idx="11">
                  <c:v>1050</c:v>
                </c:pt>
                <c:pt idx="12">
                  <c:v>1155</c:v>
                </c:pt>
                <c:pt idx="13">
                  <c:v>1230</c:v>
                </c:pt>
                <c:pt idx="14">
                  <c:v>1335</c:v>
                </c:pt>
                <c:pt idx="15">
                  <c:v>1440</c:v>
                </c:pt>
                <c:pt idx="16">
                  <c:v>1530</c:v>
                </c:pt>
                <c:pt idx="17">
                  <c:v>1635</c:v>
                </c:pt>
                <c:pt idx="18">
                  <c:v>1710</c:v>
                </c:pt>
                <c:pt idx="19">
                  <c:v>1785</c:v>
                </c:pt>
                <c:pt idx="20">
                  <c:v>1860</c:v>
                </c:pt>
                <c:pt idx="21">
                  <c:v>1965</c:v>
                </c:pt>
                <c:pt idx="22">
                  <c:v>2055</c:v>
                </c:pt>
                <c:pt idx="23">
                  <c:v>2160</c:v>
                </c:pt>
                <c:pt idx="24">
                  <c:v>2235</c:v>
                </c:pt>
                <c:pt idx="25">
                  <c:v>2340</c:v>
                </c:pt>
                <c:pt idx="26">
                  <c:v>2430</c:v>
                </c:pt>
                <c:pt idx="27">
                  <c:v>2550</c:v>
                </c:pt>
                <c:pt idx="28">
                  <c:v>2670</c:v>
                </c:pt>
                <c:pt idx="29">
                  <c:v>2775</c:v>
                </c:pt>
                <c:pt idx="30">
                  <c:v>2865</c:v>
                </c:pt>
                <c:pt idx="31">
                  <c:v>2940</c:v>
                </c:pt>
                <c:pt idx="32">
                  <c:v>3030</c:v>
                </c:pt>
                <c:pt idx="33">
                  <c:v>3120</c:v>
                </c:pt>
                <c:pt idx="34">
                  <c:v>3195</c:v>
                </c:pt>
                <c:pt idx="35">
                  <c:v>3285</c:v>
                </c:pt>
                <c:pt idx="36">
                  <c:v>3360</c:v>
                </c:pt>
                <c:pt idx="37">
                  <c:v>3480</c:v>
                </c:pt>
                <c:pt idx="38">
                  <c:v>3585</c:v>
                </c:pt>
                <c:pt idx="39">
                  <c:v>3675</c:v>
                </c:pt>
                <c:pt idx="40">
                  <c:v>3780</c:v>
                </c:pt>
                <c:pt idx="41">
                  <c:v>3870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C6-4048-BDF4-574EDB7B3400}"/>
            </c:ext>
          </c:extLst>
        </c:ser>
        <c:ser>
          <c:idx val="1"/>
          <c:order val="1"/>
          <c:tx>
            <c:strRef>
              <c:f>logs!$F$1</c:f>
              <c:strCache>
                <c:ptCount val="1"/>
                <c:pt idx="0">
                  <c:v>TotalMoneyOut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logs!$A$2:$A$43</c:f>
              <c:numCache>
                <c:formatCode>General</c:formatCode>
                <c:ptCount val="4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</c:numCache>
            </c:numRef>
          </c:xVal>
          <c:yVal>
            <c:numRef>
              <c:f>logs!$F$2:$F$43</c:f>
              <c:numCache>
                <c:formatCode>General</c:formatCode>
                <c:ptCount val="42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60</c:v>
                </c:pt>
                <c:pt idx="5">
                  <c:v>70</c:v>
                </c:pt>
                <c:pt idx="6">
                  <c:v>90</c:v>
                </c:pt>
                <c:pt idx="7">
                  <c:v>115</c:v>
                </c:pt>
                <c:pt idx="8">
                  <c:v>140</c:v>
                </c:pt>
                <c:pt idx="9">
                  <c:v>150</c:v>
                </c:pt>
                <c:pt idx="10">
                  <c:v>160</c:v>
                </c:pt>
                <c:pt idx="11">
                  <c:v>175</c:v>
                </c:pt>
                <c:pt idx="12">
                  <c:v>190</c:v>
                </c:pt>
                <c:pt idx="13">
                  <c:v>215</c:v>
                </c:pt>
                <c:pt idx="14">
                  <c:v>240</c:v>
                </c:pt>
                <c:pt idx="15">
                  <c:v>255</c:v>
                </c:pt>
                <c:pt idx="16">
                  <c:v>270</c:v>
                </c:pt>
                <c:pt idx="17">
                  <c:v>290</c:v>
                </c:pt>
                <c:pt idx="18">
                  <c:v>315</c:v>
                </c:pt>
                <c:pt idx="19">
                  <c:v>330</c:v>
                </c:pt>
                <c:pt idx="20">
                  <c:v>345</c:v>
                </c:pt>
                <c:pt idx="21">
                  <c:v>355</c:v>
                </c:pt>
                <c:pt idx="22">
                  <c:v>375</c:v>
                </c:pt>
                <c:pt idx="23">
                  <c:v>380</c:v>
                </c:pt>
                <c:pt idx="24">
                  <c:v>390</c:v>
                </c:pt>
                <c:pt idx="25">
                  <c:v>400</c:v>
                </c:pt>
                <c:pt idx="26">
                  <c:v>420</c:v>
                </c:pt>
                <c:pt idx="27">
                  <c:v>430</c:v>
                </c:pt>
                <c:pt idx="28">
                  <c:v>440</c:v>
                </c:pt>
                <c:pt idx="29">
                  <c:v>455</c:v>
                </c:pt>
                <c:pt idx="30">
                  <c:v>475</c:v>
                </c:pt>
                <c:pt idx="31">
                  <c:v>490</c:v>
                </c:pt>
                <c:pt idx="32">
                  <c:v>500</c:v>
                </c:pt>
                <c:pt idx="33">
                  <c:v>530</c:v>
                </c:pt>
                <c:pt idx="34">
                  <c:v>545</c:v>
                </c:pt>
                <c:pt idx="35">
                  <c:v>560</c:v>
                </c:pt>
                <c:pt idx="36">
                  <c:v>570</c:v>
                </c:pt>
                <c:pt idx="37">
                  <c:v>580</c:v>
                </c:pt>
                <c:pt idx="38">
                  <c:v>600</c:v>
                </c:pt>
                <c:pt idx="39">
                  <c:v>620</c:v>
                </c:pt>
                <c:pt idx="40">
                  <c:v>640</c:v>
                </c:pt>
                <c:pt idx="41">
                  <c:v>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C6-4048-BDF4-574EDB7B3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357583"/>
        <c:axId val="884356143"/>
      </c:scatterChart>
      <c:valAx>
        <c:axId val="884357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4356143"/>
        <c:crosses val="autoZero"/>
        <c:crossBetween val="midCat"/>
      </c:valAx>
      <c:valAx>
        <c:axId val="88435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84357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[DashCheck.xlsx]logs!HoursWorked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Hours</a:t>
            </a:r>
            <a:r>
              <a:rPr lang="en-US" u="sng" baseline="0"/>
              <a:t> Worked Frequency</a:t>
            </a:r>
            <a:endParaRPr lang="en-US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logs!$S$6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logs!$R$7:$R$14</c:f>
              <c:strCache>
                <c:ptCount val="7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</c:strCache>
            </c:strRef>
          </c:cat>
          <c:val>
            <c:numRef>
              <c:f>logs!$S$7:$S$14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19</c:v>
                </c:pt>
                <c:pt idx="3">
                  <c:v>58</c:v>
                </c:pt>
                <c:pt idx="4">
                  <c:v>74</c:v>
                </c:pt>
                <c:pt idx="5">
                  <c:v>73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5-4239-ABAF-33BC872F86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8401439"/>
        <c:axId val="778401919"/>
      </c:barChart>
      <c:catAx>
        <c:axId val="778401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Hours Worked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8401919"/>
        <c:crosses val="autoZero"/>
        <c:auto val="1"/>
        <c:lblAlgn val="ctr"/>
        <c:lblOffset val="100"/>
        <c:noMultiLvlLbl val="0"/>
      </c:catAx>
      <c:valAx>
        <c:axId val="77840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7840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[DashCheck.xlsx]logs!Tableau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u="sng"/>
              <a:t>Hours Slept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logs!$S$22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logs!$R$23:$R$27</c:f>
              <c:strCach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strCache>
            </c:strRef>
          </c:cat>
          <c:val>
            <c:numRef>
              <c:f>logs!$S$23:$S$27</c:f>
              <c:numCache>
                <c:formatCode>General</c:formatCode>
                <c:ptCount val="4"/>
                <c:pt idx="0">
                  <c:v>60</c:v>
                </c:pt>
                <c:pt idx="1">
                  <c:v>70</c:v>
                </c:pt>
                <c:pt idx="2">
                  <c:v>66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3-49C3-8528-1C69C72101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9301408"/>
        <c:axId val="1115328192"/>
      </c:barChart>
      <c:catAx>
        <c:axId val="1139301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Hours</a:t>
                </a:r>
                <a:r>
                  <a:rPr lang="fr-CM" baseline="0"/>
                  <a:t> Slept</a:t>
                </a:r>
                <a:endParaRPr lang="fr-CM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M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15328192"/>
        <c:crosses val="autoZero"/>
        <c:auto val="1"/>
        <c:lblAlgn val="ctr"/>
        <c:lblOffset val="100"/>
        <c:noMultiLvlLbl val="0"/>
      </c:catAx>
      <c:valAx>
        <c:axId val="111532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M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930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190499</xdr:rowOff>
    </xdr:from>
    <xdr:to>
      <xdr:col>16</xdr:col>
      <xdr:colOff>0</xdr:colOff>
      <xdr:row>19</xdr:row>
      <xdr:rowOff>190498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A21B9391-DAD4-4BFD-97F2-10057C548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1</xdr:rowOff>
    </xdr:from>
    <xdr:to>
      <xdr:col>16</xdr:col>
      <xdr:colOff>0</xdr:colOff>
      <xdr:row>36</xdr:row>
      <xdr:rowOff>9525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5472747-5CE4-4EC0-81AA-ECF2D3FF7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190498</xdr:rowOff>
    </xdr:from>
    <xdr:to>
      <xdr:col>26</xdr:col>
      <xdr:colOff>0</xdr:colOff>
      <xdr:row>19</xdr:row>
      <xdr:rowOff>190499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9E42202D-452D-09A7-E92F-7FBF50AE4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438149</xdr:colOff>
      <xdr:row>21</xdr:row>
      <xdr:rowOff>1</xdr:rowOff>
    </xdr:from>
    <xdr:to>
      <xdr:col>25</xdr:col>
      <xdr:colOff>752475</xdr:colOff>
      <xdr:row>36</xdr:row>
      <xdr:rowOff>1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F6E5BFF-735B-0B16-D730-B75071ADA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hard Claudel MOUELLE" refreshedDate="45870.551064004627" createdVersion="8" refreshedVersion="8" minRefreshableVersion="3" recordCount="261" xr:uid="{5FAF1185-2487-4A3B-BAD5-E81DD94BDCBA}">
  <cacheSource type="worksheet">
    <worksheetSource name="Tableau1"/>
  </cacheSource>
  <cacheFields count="7">
    <cacheField name="Day" numFmtId="0">
      <sharedItems containsSemiMixedTypes="0" containsString="0" containsNumber="1" containsInteger="1" minValue="0" maxValue="260"/>
    </cacheField>
    <cacheField name="Energy" numFmtId="0">
      <sharedItems containsSemiMixedTypes="0" containsString="0" containsNumber="1" minValue="105.5" maxValue="250"/>
    </cacheField>
    <cacheField name="Money" numFmtId="0">
      <sharedItems containsSemiMixedTypes="0" containsString="0" containsNumber="1" containsInteger="1" minValue="250" maxValue="20115"/>
    </cacheField>
    <cacheField name="TimeWorked" numFmtId="0">
      <sharedItems containsSemiMixedTypes="0" containsString="0" containsNumber="1" containsInteger="1" minValue="0" maxValue="8" count="9">
        <n v="0"/>
        <n v="4"/>
        <n v="7"/>
        <n v="6"/>
        <n v="5"/>
        <n v="8"/>
        <n v="3"/>
        <n v="2" u="1"/>
        <n v="1" u="1"/>
      </sharedItems>
    </cacheField>
    <cacheField name="TotalMoneyIn" numFmtId="0">
      <sharedItems containsSemiMixedTypes="0" containsString="0" containsNumber="1" containsInteger="1" minValue="0" maxValue="23760"/>
    </cacheField>
    <cacheField name="TotalMoneyOut" numFmtId="0">
      <sharedItems containsSemiMixedTypes="0" containsString="0" containsNumber="1" containsInteger="1" minValue="0" maxValue="3895"/>
    </cacheField>
    <cacheField name="HoursSlept" numFmtId="0">
      <sharedItems containsSemiMixedTypes="0" containsString="0" containsNumber="1" containsInteger="1" minValue="0" maxValue="7" count="8">
        <n v="5"/>
        <n v="4"/>
        <n v="6"/>
        <n v="7"/>
        <n v="0" u="1"/>
        <n v="3" u="1"/>
        <n v="2" u="1"/>
        <n v="1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1">
  <r>
    <n v="0"/>
    <n v="250"/>
    <n v="250"/>
    <x v="0"/>
    <n v="0"/>
    <n v="0"/>
    <x v="0"/>
  </r>
  <r>
    <n v="1"/>
    <n v="230"/>
    <n v="305"/>
    <x v="1"/>
    <n v="60"/>
    <n v="5"/>
    <x v="1"/>
  </r>
  <r>
    <n v="2"/>
    <n v="218.5"/>
    <n v="395"/>
    <x v="2"/>
    <n v="165"/>
    <n v="20"/>
    <x v="0"/>
  </r>
  <r>
    <n v="3"/>
    <n v="214.5"/>
    <n v="475"/>
    <x v="2"/>
    <n v="270"/>
    <n v="45"/>
    <x v="1"/>
  </r>
  <r>
    <n v="4"/>
    <n v="191"/>
    <n v="560"/>
    <x v="3"/>
    <n v="360"/>
    <n v="50"/>
    <x v="0"/>
  </r>
  <r>
    <n v="5"/>
    <n v="179"/>
    <n v="645"/>
    <x v="2"/>
    <n v="465"/>
    <n v="70"/>
    <x v="1"/>
  </r>
  <r>
    <n v="6"/>
    <n v="194"/>
    <n v="705"/>
    <x v="4"/>
    <n v="540"/>
    <n v="85"/>
    <x v="2"/>
  </r>
  <r>
    <n v="7"/>
    <n v="206"/>
    <n v="755"/>
    <x v="4"/>
    <n v="615"/>
    <n v="110"/>
    <x v="1"/>
  </r>
  <r>
    <n v="8"/>
    <n v="192"/>
    <n v="840"/>
    <x v="2"/>
    <n v="720"/>
    <n v="130"/>
    <x v="1"/>
  </r>
  <r>
    <n v="9"/>
    <n v="207.5"/>
    <n v="930"/>
    <x v="2"/>
    <n v="825"/>
    <n v="145"/>
    <x v="3"/>
  </r>
  <r>
    <n v="10"/>
    <n v="227"/>
    <n v="1005"/>
    <x v="3"/>
    <n v="915"/>
    <n v="160"/>
    <x v="3"/>
  </r>
  <r>
    <n v="11"/>
    <n v="250"/>
    <n v="1075"/>
    <x v="3"/>
    <n v="1005"/>
    <n v="180"/>
    <x v="3"/>
  </r>
  <r>
    <n v="12"/>
    <n v="250"/>
    <n v="1140"/>
    <x v="4"/>
    <n v="1080"/>
    <n v="190"/>
    <x v="2"/>
  </r>
  <r>
    <n v="13"/>
    <n v="245.5"/>
    <n v="1240"/>
    <x v="2"/>
    <n v="1185"/>
    <n v="195"/>
    <x v="3"/>
  </r>
  <r>
    <n v="14"/>
    <n v="250"/>
    <n v="1285"/>
    <x v="1"/>
    <n v="1245"/>
    <n v="210"/>
    <x v="0"/>
  </r>
  <r>
    <n v="15"/>
    <n v="250"/>
    <n v="1340"/>
    <x v="4"/>
    <n v="1320"/>
    <n v="230"/>
    <x v="3"/>
  </r>
  <r>
    <n v="16"/>
    <n v="216"/>
    <n v="1435"/>
    <x v="2"/>
    <n v="1425"/>
    <n v="240"/>
    <x v="1"/>
  </r>
  <r>
    <n v="17"/>
    <n v="247.5"/>
    <n v="1505"/>
    <x v="3"/>
    <n v="1515"/>
    <n v="260"/>
    <x v="3"/>
  </r>
  <r>
    <n v="18"/>
    <n v="248.5"/>
    <n v="1595"/>
    <x v="2"/>
    <n v="1620"/>
    <n v="275"/>
    <x v="2"/>
  </r>
  <r>
    <n v="19"/>
    <n v="247"/>
    <n v="1680"/>
    <x v="2"/>
    <n v="1725"/>
    <n v="295"/>
    <x v="0"/>
  </r>
  <r>
    <n v="20"/>
    <n v="250"/>
    <n v="1745"/>
    <x v="4"/>
    <n v="1800"/>
    <n v="305"/>
    <x v="3"/>
  </r>
  <r>
    <n v="21"/>
    <n v="250"/>
    <n v="1815"/>
    <x v="3"/>
    <n v="1890"/>
    <n v="325"/>
    <x v="2"/>
  </r>
  <r>
    <n v="22"/>
    <n v="229.5"/>
    <n v="1935"/>
    <x v="5"/>
    <n v="2010"/>
    <n v="325"/>
    <x v="3"/>
  </r>
  <r>
    <n v="23"/>
    <n v="197.5"/>
    <n v="2005"/>
    <x v="4"/>
    <n v="2085"/>
    <n v="330"/>
    <x v="1"/>
  </r>
  <r>
    <n v="24"/>
    <n v="216.5"/>
    <n v="2075"/>
    <x v="3"/>
    <n v="2175"/>
    <n v="350"/>
    <x v="2"/>
  </r>
  <r>
    <n v="25"/>
    <n v="223"/>
    <n v="2145"/>
    <x v="3"/>
    <n v="2265"/>
    <n v="370"/>
    <x v="0"/>
  </r>
  <r>
    <n v="26"/>
    <n v="199"/>
    <n v="2235"/>
    <x v="2"/>
    <n v="2370"/>
    <n v="385"/>
    <x v="1"/>
  </r>
  <r>
    <n v="27"/>
    <n v="173"/>
    <n v="2315"/>
    <x v="3"/>
    <n v="2460"/>
    <n v="395"/>
    <x v="1"/>
  </r>
  <r>
    <n v="28"/>
    <n v="171.5"/>
    <n v="2400"/>
    <x v="2"/>
    <n v="2565"/>
    <n v="415"/>
    <x v="0"/>
  </r>
  <r>
    <n v="29"/>
    <n v="218.5"/>
    <n v="2445"/>
    <x v="4"/>
    <n v="2640"/>
    <n v="445"/>
    <x v="2"/>
  </r>
  <r>
    <n v="30"/>
    <n v="250"/>
    <n v="2495"/>
    <x v="4"/>
    <n v="2715"/>
    <n v="470"/>
    <x v="3"/>
  </r>
  <r>
    <n v="31"/>
    <n v="250"/>
    <n v="2565"/>
    <x v="3"/>
    <n v="2805"/>
    <n v="490"/>
    <x v="0"/>
  </r>
  <r>
    <n v="32"/>
    <n v="216"/>
    <n v="2670"/>
    <x v="5"/>
    <n v="2925"/>
    <n v="505"/>
    <x v="1"/>
  </r>
  <r>
    <n v="33"/>
    <n v="190"/>
    <n v="2750"/>
    <x v="3"/>
    <n v="3015"/>
    <n v="515"/>
    <x v="1"/>
  </r>
  <r>
    <n v="34"/>
    <n v="239.5"/>
    <n v="2800"/>
    <x v="4"/>
    <n v="3090"/>
    <n v="540"/>
    <x v="3"/>
  </r>
  <r>
    <n v="35"/>
    <n v="248.5"/>
    <n v="2875"/>
    <x v="3"/>
    <n v="3180"/>
    <n v="555"/>
    <x v="2"/>
  </r>
  <r>
    <n v="36"/>
    <n v="218.5"/>
    <n v="2980"/>
    <x v="5"/>
    <n v="3300"/>
    <n v="570"/>
    <x v="1"/>
  </r>
  <r>
    <n v="37"/>
    <n v="236.5"/>
    <n v="3015"/>
    <x v="1"/>
    <n v="3360"/>
    <n v="595"/>
    <x v="1"/>
  </r>
  <r>
    <n v="38"/>
    <n v="184.5"/>
    <n v="3130"/>
    <x v="5"/>
    <n v="3480"/>
    <n v="600"/>
    <x v="1"/>
  </r>
  <r>
    <n v="39"/>
    <n v="168.5"/>
    <n v="3205"/>
    <x v="3"/>
    <n v="3570"/>
    <n v="615"/>
    <x v="1"/>
  </r>
  <r>
    <n v="40"/>
    <n v="144.5"/>
    <n v="3295"/>
    <x v="2"/>
    <n v="3675"/>
    <n v="630"/>
    <x v="1"/>
  </r>
  <r>
    <n v="41"/>
    <n v="136.5"/>
    <n v="3355"/>
    <x v="4"/>
    <n v="3750"/>
    <n v="645"/>
    <x v="1"/>
  </r>
  <r>
    <n v="42"/>
    <n v="176"/>
    <n v="3410"/>
    <x v="4"/>
    <n v="3825"/>
    <n v="665"/>
    <x v="3"/>
  </r>
  <r>
    <n v="43"/>
    <n v="209.5"/>
    <n v="3480"/>
    <x v="3"/>
    <n v="3915"/>
    <n v="685"/>
    <x v="3"/>
  </r>
  <r>
    <n v="44"/>
    <n v="237"/>
    <n v="3540"/>
    <x v="4"/>
    <n v="3990"/>
    <n v="700"/>
    <x v="3"/>
  </r>
  <r>
    <n v="45"/>
    <n v="250"/>
    <n v="3595"/>
    <x v="4"/>
    <n v="4065"/>
    <n v="720"/>
    <x v="2"/>
  </r>
  <r>
    <n v="46"/>
    <n v="230.5"/>
    <n v="3665"/>
    <x v="4"/>
    <n v="4140"/>
    <n v="725"/>
    <x v="0"/>
  </r>
  <r>
    <n v="47"/>
    <n v="247.5"/>
    <n v="3725"/>
    <x v="4"/>
    <n v="4215"/>
    <n v="740"/>
    <x v="2"/>
  </r>
  <r>
    <n v="48"/>
    <n v="250"/>
    <n v="3790"/>
    <x v="4"/>
    <n v="4290"/>
    <n v="750"/>
    <x v="3"/>
  </r>
  <r>
    <n v="49"/>
    <n v="250"/>
    <n v="3850"/>
    <x v="4"/>
    <n v="4365"/>
    <n v="765"/>
    <x v="0"/>
  </r>
  <r>
    <n v="50"/>
    <n v="250"/>
    <n v="3880"/>
    <x v="6"/>
    <n v="4410"/>
    <n v="780"/>
    <x v="1"/>
  </r>
  <r>
    <n v="51"/>
    <n v="244"/>
    <n v="3940"/>
    <x v="4"/>
    <n v="4485"/>
    <n v="795"/>
    <x v="1"/>
  </r>
  <r>
    <n v="52"/>
    <n v="212.5"/>
    <n v="4050"/>
    <x v="5"/>
    <n v="4605"/>
    <n v="805"/>
    <x v="0"/>
  </r>
  <r>
    <n v="53"/>
    <n v="168.5"/>
    <n v="4150"/>
    <x v="2"/>
    <n v="4710"/>
    <n v="810"/>
    <x v="1"/>
  </r>
  <r>
    <n v="54"/>
    <n v="206"/>
    <n v="4195"/>
    <x v="1"/>
    <n v="4770"/>
    <n v="825"/>
    <x v="3"/>
  </r>
  <r>
    <n v="55"/>
    <n v="224.5"/>
    <n v="4250"/>
    <x v="4"/>
    <n v="4845"/>
    <n v="845"/>
    <x v="0"/>
  </r>
  <r>
    <n v="56"/>
    <n v="224"/>
    <n v="4345"/>
    <x v="2"/>
    <n v="4950"/>
    <n v="855"/>
    <x v="3"/>
  </r>
  <r>
    <n v="57"/>
    <n v="250"/>
    <n v="4410"/>
    <x v="3"/>
    <n v="5040"/>
    <n v="880"/>
    <x v="2"/>
  </r>
  <r>
    <n v="58"/>
    <n v="250"/>
    <n v="4465"/>
    <x v="4"/>
    <n v="5115"/>
    <n v="900"/>
    <x v="2"/>
  </r>
  <r>
    <n v="59"/>
    <n v="250"/>
    <n v="4535"/>
    <x v="3"/>
    <n v="5205"/>
    <n v="920"/>
    <x v="0"/>
  </r>
  <r>
    <n v="60"/>
    <n v="226.5"/>
    <n v="4630"/>
    <x v="2"/>
    <n v="5310"/>
    <n v="930"/>
    <x v="0"/>
  </r>
  <r>
    <n v="61"/>
    <n v="198.5"/>
    <n v="4710"/>
    <x v="3"/>
    <n v="5400"/>
    <n v="940"/>
    <x v="1"/>
  </r>
  <r>
    <n v="62"/>
    <n v="222"/>
    <n v="4795"/>
    <x v="2"/>
    <n v="5505"/>
    <n v="960"/>
    <x v="3"/>
  </r>
  <r>
    <n v="63"/>
    <n v="228.5"/>
    <n v="4865"/>
    <x v="3"/>
    <n v="5595"/>
    <n v="980"/>
    <x v="0"/>
  </r>
  <r>
    <n v="64"/>
    <n v="245"/>
    <n v="4930"/>
    <x v="3"/>
    <n v="5685"/>
    <n v="1005"/>
    <x v="0"/>
  </r>
  <r>
    <n v="65"/>
    <n v="250"/>
    <n v="5005"/>
    <x v="3"/>
    <n v="5775"/>
    <n v="1020"/>
    <x v="3"/>
  </r>
  <r>
    <n v="66"/>
    <n v="230.5"/>
    <n v="5110"/>
    <x v="5"/>
    <n v="5895"/>
    <n v="1035"/>
    <x v="0"/>
  </r>
  <r>
    <n v="67"/>
    <n v="230.5"/>
    <n v="5155"/>
    <x v="1"/>
    <n v="5955"/>
    <n v="1050"/>
    <x v="1"/>
  </r>
  <r>
    <n v="68"/>
    <n v="223.5"/>
    <n v="5250"/>
    <x v="2"/>
    <n v="6060"/>
    <n v="1060"/>
    <x v="2"/>
  </r>
  <r>
    <n v="69"/>
    <n v="214"/>
    <n v="5340"/>
    <x v="2"/>
    <n v="6165"/>
    <n v="1075"/>
    <x v="0"/>
  </r>
  <r>
    <n v="70"/>
    <n v="210.5"/>
    <n v="5415"/>
    <x v="3"/>
    <n v="6255"/>
    <n v="1090"/>
    <x v="0"/>
  </r>
  <r>
    <n v="71"/>
    <n v="208"/>
    <n v="5500"/>
    <x v="3"/>
    <n v="6345"/>
    <n v="1095"/>
    <x v="3"/>
  </r>
  <r>
    <n v="72"/>
    <n v="196.5"/>
    <n v="5590"/>
    <x v="2"/>
    <n v="6450"/>
    <n v="1110"/>
    <x v="0"/>
  </r>
  <r>
    <n v="73"/>
    <n v="200.5"/>
    <n v="5655"/>
    <x v="3"/>
    <n v="6540"/>
    <n v="1135"/>
    <x v="1"/>
  </r>
  <r>
    <n v="74"/>
    <n v="212"/>
    <n v="5735"/>
    <x v="3"/>
    <n v="6630"/>
    <n v="1145"/>
    <x v="3"/>
  </r>
  <r>
    <n v="75"/>
    <n v="235.5"/>
    <n v="5800"/>
    <x v="4"/>
    <n v="6705"/>
    <n v="1155"/>
    <x v="3"/>
  </r>
  <r>
    <n v="76"/>
    <n v="202.5"/>
    <n v="5905"/>
    <x v="2"/>
    <n v="6810"/>
    <n v="1155"/>
    <x v="2"/>
  </r>
  <r>
    <n v="77"/>
    <n v="242"/>
    <n v="5960"/>
    <x v="4"/>
    <n v="6885"/>
    <n v="1175"/>
    <x v="3"/>
  </r>
  <r>
    <n v="78"/>
    <n v="210"/>
    <n v="6065"/>
    <x v="5"/>
    <n v="7005"/>
    <n v="1190"/>
    <x v="1"/>
  </r>
  <r>
    <n v="79"/>
    <n v="250"/>
    <n v="6115"/>
    <x v="4"/>
    <n v="7080"/>
    <n v="1215"/>
    <x v="3"/>
  </r>
  <r>
    <n v="80"/>
    <n v="250"/>
    <n v="6205"/>
    <x v="2"/>
    <n v="7185"/>
    <n v="1230"/>
    <x v="2"/>
  </r>
  <r>
    <n v="81"/>
    <n v="238.5"/>
    <n v="6295"/>
    <x v="2"/>
    <n v="7290"/>
    <n v="1245"/>
    <x v="0"/>
  </r>
  <r>
    <n v="82"/>
    <n v="250"/>
    <n v="6355"/>
    <x v="4"/>
    <n v="7365"/>
    <n v="1260"/>
    <x v="3"/>
  </r>
  <r>
    <n v="83"/>
    <n v="250"/>
    <n v="6410"/>
    <x v="4"/>
    <n v="7440"/>
    <n v="1280"/>
    <x v="0"/>
  </r>
  <r>
    <n v="84"/>
    <n v="236.5"/>
    <n v="6490"/>
    <x v="3"/>
    <n v="7530"/>
    <n v="1290"/>
    <x v="0"/>
  </r>
  <r>
    <n v="85"/>
    <n v="250"/>
    <n v="6575"/>
    <x v="2"/>
    <n v="7635"/>
    <n v="1310"/>
    <x v="3"/>
  </r>
  <r>
    <n v="86"/>
    <n v="234.5"/>
    <n v="6680"/>
    <x v="5"/>
    <n v="7755"/>
    <n v="1325"/>
    <x v="0"/>
  </r>
  <r>
    <n v="87"/>
    <n v="214.5"/>
    <n v="6755"/>
    <x v="3"/>
    <n v="7845"/>
    <n v="1340"/>
    <x v="1"/>
  </r>
  <r>
    <n v="88"/>
    <n v="220"/>
    <n v="6850"/>
    <x v="2"/>
    <n v="7950"/>
    <n v="1350"/>
    <x v="3"/>
  </r>
  <r>
    <n v="89"/>
    <n v="204.5"/>
    <n v="6930"/>
    <x v="3"/>
    <n v="8040"/>
    <n v="1360"/>
    <x v="0"/>
  </r>
  <r>
    <n v="90"/>
    <n v="250"/>
    <n v="6955"/>
    <x v="6"/>
    <n v="8085"/>
    <n v="1380"/>
    <x v="3"/>
  </r>
  <r>
    <n v="91"/>
    <n v="250"/>
    <n v="7040"/>
    <x v="2"/>
    <n v="8190"/>
    <n v="1400"/>
    <x v="2"/>
  </r>
  <r>
    <n v="92"/>
    <n v="246.5"/>
    <n v="7125"/>
    <x v="2"/>
    <n v="8295"/>
    <n v="1420"/>
    <x v="0"/>
  </r>
  <r>
    <n v="93"/>
    <n v="250"/>
    <n v="7185"/>
    <x v="4"/>
    <n v="8370"/>
    <n v="1435"/>
    <x v="3"/>
  </r>
  <r>
    <n v="94"/>
    <n v="247"/>
    <n v="7265"/>
    <x v="3"/>
    <n v="8460"/>
    <n v="1445"/>
    <x v="2"/>
  </r>
  <r>
    <n v="95"/>
    <n v="250"/>
    <n v="7355"/>
    <x v="2"/>
    <n v="8565"/>
    <n v="1460"/>
    <x v="3"/>
  </r>
  <r>
    <n v="96"/>
    <n v="244.5"/>
    <n v="7430"/>
    <x v="3"/>
    <n v="8655"/>
    <n v="1475"/>
    <x v="0"/>
  </r>
  <r>
    <n v="97"/>
    <n v="250"/>
    <n v="7525"/>
    <x v="2"/>
    <n v="8760"/>
    <n v="1485"/>
    <x v="3"/>
  </r>
  <r>
    <n v="98"/>
    <n v="226"/>
    <n v="7615"/>
    <x v="2"/>
    <n v="8865"/>
    <n v="1500"/>
    <x v="1"/>
  </r>
  <r>
    <n v="99"/>
    <n v="243.5"/>
    <n v="7690"/>
    <x v="3"/>
    <n v="8955"/>
    <n v="1515"/>
    <x v="3"/>
  </r>
  <r>
    <n v="100"/>
    <n v="237.5"/>
    <n v="7760"/>
    <x v="3"/>
    <n v="9045"/>
    <n v="1535"/>
    <x v="1"/>
  </r>
  <r>
    <n v="101"/>
    <n v="216"/>
    <n v="7855"/>
    <x v="2"/>
    <n v="9150"/>
    <n v="1545"/>
    <x v="0"/>
  </r>
  <r>
    <n v="102"/>
    <n v="194"/>
    <n v="7935"/>
    <x v="3"/>
    <n v="9240"/>
    <n v="1555"/>
    <x v="1"/>
  </r>
  <r>
    <n v="103"/>
    <n v="176"/>
    <n v="8010"/>
    <x v="3"/>
    <n v="9330"/>
    <n v="1570"/>
    <x v="1"/>
  </r>
  <r>
    <n v="104"/>
    <n v="191"/>
    <n v="8070"/>
    <x v="4"/>
    <n v="9405"/>
    <n v="1585"/>
    <x v="2"/>
  </r>
  <r>
    <n v="105"/>
    <n v="218"/>
    <n v="8115"/>
    <x v="1"/>
    <n v="9465"/>
    <n v="1600"/>
    <x v="2"/>
  </r>
  <r>
    <n v="106"/>
    <n v="226"/>
    <n v="8155"/>
    <x v="1"/>
    <n v="9525"/>
    <n v="1620"/>
    <x v="1"/>
  </r>
  <r>
    <n v="107"/>
    <n v="245"/>
    <n v="8215"/>
    <x v="4"/>
    <n v="9600"/>
    <n v="1635"/>
    <x v="2"/>
  </r>
  <r>
    <n v="108"/>
    <n v="250"/>
    <n v="8250"/>
    <x v="1"/>
    <n v="9660"/>
    <n v="1660"/>
    <x v="1"/>
  </r>
  <r>
    <n v="109"/>
    <n v="250"/>
    <n v="8310"/>
    <x v="4"/>
    <n v="9735"/>
    <n v="1675"/>
    <x v="0"/>
  </r>
  <r>
    <n v="110"/>
    <n v="222.5"/>
    <n v="8420"/>
    <x v="5"/>
    <n v="9855"/>
    <n v="1685"/>
    <x v="0"/>
  </r>
  <r>
    <n v="111"/>
    <n v="196.5"/>
    <n v="8510"/>
    <x v="2"/>
    <n v="9960"/>
    <n v="1700"/>
    <x v="1"/>
  </r>
  <r>
    <n v="112"/>
    <n v="208"/>
    <n v="8590"/>
    <x v="3"/>
    <n v="10050"/>
    <n v="1710"/>
    <x v="3"/>
  </r>
  <r>
    <n v="113"/>
    <n v="204.5"/>
    <n v="8665"/>
    <x v="3"/>
    <n v="10140"/>
    <n v="1725"/>
    <x v="0"/>
  </r>
  <r>
    <n v="114"/>
    <n v="197"/>
    <n v="8755"/>
    <x v="2"/>
    <n v="10245"/>
    <n v="1740"/>
    <x v="0"/>
  </r>
  <r>
    <n v="115"/>
    <n v="186"/>
    <n v="8860"/>
    <x v="5"/>
    <n v="10365"/>
    <n v="1755"/>
    <x v="2"/>
  </r>
  <r>
    <n v="116"/>
    <n v="169"/>
    <n v="8970"/>
    <x v="5"/>
    <n v="10485"/>
    <n v="1765"/>
    <x v="2"/>
  </r>
  <r>
    <n v="117"/>
    <n v="137.5"/>
    <n v="9070"/>
    <x v="2"/>
    <n v="10590"/>
    <n v="1770"/>
    <x v="0"/>
  </r>
  <r>
    <n v="118"/>
    <n v="177"/>
    <n v="9125"/>
    <x v="4"/>
    <n v="10665"/>
    <n v="1790"/>
    <x v="3"/>
  </r>
  <r>
    <n v="119"/>
    <n v="204"/>
    <n v="9170"/>
    <x v="1"/>
    <n v="10725"/>
    <n v="1805"/>
    <x v="2"/>
  </r>
  <r>
    <n v="120"/>
    <n v="170"/>
    <n v="9265"/>
    <x v="2"/>
    <n v="10830"/>
    <n v="1815"/>
    <x v="1"/>
  </r>
  <r>
    <n v="121"/>
    <n v="164.5"/>
    <n v="9340"/>
    <x v="3"/>
    <n v="10920"/>
    <n v="1830"/>
    <x v="0"/>
  </r>
  <r>
    <n v="122"/>
    <n v="179.5"/>
    <n v="9425"/>
    <x v="2"/>
    <n v="11025"/>
    <n v="1850"/>
    <x v="2"/>
  </r>
  <r>
    <n v="123"/>
    <n v="187.5"/>
    <n v="9465"/>
    <x v="1"/>
    <n v="11085"/>
    <n v="1870"/>
    <x v="1"/>
  </r>
  <r>
    <n v="124"/>
    <n v="172.5"/>
    <n v="9575"/>
    <x v="5"/>
    <n v="11205"/>
    <n v="1880"/>
    <x v="2"/>
  </r>
  <r>
    <n v="125"/>
    <n v="189"/>
    <n v="9605"/>
    <x v="6"/>
    <n v="11250"/>
    <n v="1895"/>
    <x v="0"/>
  </r>
  <r>
    <n v="126"/>
    <n v="196"/>
    <n v="9670"/>
    <x v="4"/>
    <n v="11325"/>
    <n v="1905"/>
    <x v="2"/>
  </r>
  <r>
    <n v="127"/>
    <n v="233"/>
    <n v="9700"/>
    <x v="6"/>
    <n v="11370"/>
    <n v="1920"/>
    <x v="2"/>
  </r>
  <r>
    <n v="128"/>
    <n v="232.5"/>
    <n v="9795"/>
    <x v="2"/>
    <n v="11475"/>
    <n v="1930"/>
    <x v="3"/>
  </r>
  <r>
    <n v="129"/>
    <n v="250"/>
    <n v="9840"/>
    <x v="1"/>
    <n v="11535"/>
    <n v="1945"/>
    <x v="2"/>
  </r>
  <r>
    <n v="130"/>
    <n v="233"/>
    <n v="9950"/>
    <x v="5"/>
    <n v="11655"/>
    <n v="1955"/>
    <x v="2"/>
  </r>
  <r>
    <n v="131"/>
    <n v="201.5"/>
    <n v="10050"/>
    <x v="2"/>
    <n v="11760"/>
    <n v="1960"/>
    <x v="0"/>
  </r>
  <r>
    <n v="132"/>
    <n v="204.5"/>
    <n v="10140"/>
    <x v="2"/>
    <n v="11865"/>
    <n v="1975"/>
    <x v="2"/>
  </r>
  <r>
    <n v="133"/>
    <n v="224"/>
    <n v="10205"/>
    <x v="4"/>
    <n v="11940"/>
    <n v="1985"/>
    <x v="3"/>
  </r>
  <r>
    <n v="134"/>
    <n v="220"/>
    <n v="10285"/>
    <x v="2"/>
    <n v="12045"/>
    <n v="2010"/>
    <x v="1"/>
  </r>
  <r>
    <n v="135"/>
    <n v="224.5"/>
    <n v="10355"/>
    <x v="3"/>
    <n v="12135"/>
    <n v="2030"/>
    <x v="0"/>
  </r>
  <r>
    <n v="136"/>
    <n v="250"/>
    <n v="10415"/>
    <x v="4"/>
    <n v="12210"/>
    <n v="2045"/>
    <x v="3"/>
  </r>
  <r>
    <n v="137"/>
    <n v="250"/>
    <n v="10505"/>
    <x v="2"/>
    <n v="12315"/>
    <n v="2060"/>
    <x v="2"/>
  </r>
  <r>
    <n v="138"/>
    <n v="242.5"/>
    <n v="10580"/>
    <x v="3"/>
    <n v="12405"/>
    <n v="2075"/>
    <x v="0"/>
  </r>
  <r>
    <n v="139"/>
    <n v="216.5"/>
    <n v="10660"/>
    <x v="3"/>
    <n v="12495"/>
    <n v="2085"/>
    <x v="1"/>
  </r>
  <r>
    <n v="140"/>
    <n v="226.5"/>
    <n v="10700"/>
    <x v="1"/>
    <n v="12555"/>
    <n v="2105"/>
    <x v="1"/>
  </r>
  <r>
    <n v="141"/>
    <n v="231.5"/>
    <n v="10790"/>
    <x v="2"/>
    <n v="12660"/>
    <n v="2120"/>
    <x v="2"/>
  </r>
  <r>
    <n v="142"/>
    <n v="218"/>
    <n v="10870"/>
    <x v="3"/>
    <n v="12750"/>
    <n v="2130"/>
    <x v="0"/>
  </r>
  <r>
    <n v="143"/>
    <n v="245.5"/>
    <n v="10940"/>
    <x v="3"/>
    <n v="12840"/>
    <n v="2150"/>
    <x v="3"/>
  </r>
  <r>
    <n v="144"/>
    <n v="241"/>
    <n v="11050"/>
    <x v="5"/>
    <n v="12960"/>
    <n v="2160"/>
    <x v="3"/>
  </r>
  <r>
    <n v="145"/>
    <n v="228"/>
    <n v="11160"/>
    <x v="5"/>
    <n v="13080"/>
    <n v="2170"/>
    <x v="2"/>
  </r>
  <r>
    <n v="146"/>
    <n v="233"/>
    <n v="11235"/>
    <x v="3"/>
    <n v="13170"/>
    <n v="2185"/>
    <x v="2"/>
  </r>
  <r>
    <n v="147"/>
    <n v="250"/>
    <n v="11310"/>
    <x v="3"/>
    <n v="13260"/>
    <n v="2200"/>
    <x v="3"/>
  </r>
  <r>
    <n v="148"/>
    <n v="250"/>
    <n v="11360"/>
    <x v="1"/>
    <n v="13320"/>
    <n v="2210"/>
    <x v="0"/>
  </r>
  <r>
    <n v="149"/>
    <n v="234.5"/>
    <n v="11440"/>
    <x v="3"/>
    <n v="13410"/>
    <n v="2220"/>
    <x v="0"/>
  </r>
  <r>
    <n v="150"/>
    <n v="230"/>
    <n v="11550"/>
    <x v="5"/>
    <n v="13530"/>
    <n v="2230"/>
    <x v="3"/>
  </r>
  <r>
    <n v="151"/>
    <n v="250"/>
    <n v="11610"/>
    <x v="4"/>
    <n v="13605"/>
    <n v="2245"/>
    <x v="3"/>
  </r>
  <r>
    <n v="152"/>
    <n v="242.5"/>
    <n v="11685"/>
    <x v="3"/>
    <n v="13695"/>
    <n v="2260"/>
    <x v="0"/>
  </r>
  <r>
    <n v="153"/>
    <n v="218.5"/>
    <n v="11765"/>
    <x v="3"/>
    <n v="13785"/>
    <n v="2270"/>
    <x v="1"/>
  </r>
  <r>
    <n v="154"/>
    <n v="250"/>
    <n v="11820"/>
    <x v="4"/>
    <n v="13860"/>
    <n v="2290"/>
    <x v="3"/>
  </r>
  <r>
    <n v="155"/>
    <n v="224"/>
    <n v="11910"/>
    <x v="2"/>
    <n v="13965"/>
    <n v="2305"/>
    <x v="1"/>
  </r>
  <r>
    <n v="156"/>
    <n v="233.5"/>
    <n v="12015"/>
    <x v="5"/>
    <n v="14085"/>
    <n v="2320"/>
    <x v="3"/>
  </r>
  <r>
    <n v="157"/>
    <n v="248.5"/>
    <n v="12085"/>
    <x v="3"/>
    <n v="14175"/>
    <n v="2340"/>
    <x v="2"/>
  </r>
  <r>
    <n v="158"/>
    <n v="250"/>
    <n v="12140"/>
    <x v="4"/>
    <n v="14250"/>
    <n v="2360"/>
    <x v="2"/>
  </r>
  <r>
    <n v="159"/>
    <n v="243.5"/>
    <n v="12240"/>
    <x v="2"/>
    <n v="14355"/>
    <n v="2365"/>
    <x v="3"/>
  </r>
  <r>
    <n v="160"/>
    <n v="229.5"/>
    <n v="12325"/>
    <x v="2"/>
    <n v="14460"/>
    <n v="2385"/>
    <x v="1"/>
  </r>
  <r>
    <n v="161"/>
    <n v="250"/>
    <n v="12395"/>
    <x v="3"/>
    <n v="14550"/>
    <n v="2405"/>
    <x v="3"/>
  </r>
  <r>
    <n v="162"/>
    <n v="210.5"/>
    <n v="12510"/>
    <x v="5"/>
    <n v="14670"/>
    <n v="2410"/>
    <x v="0"/>
  </r>
  <r>
    <n v="163"/>
    <n v="191"/>
    <n v="12605"/>
    <x v="2"/>
    <n v="14775"/>
    <n v="2420"/>
    <x v="0"/>
  </r>
  <r>
    <n v="164"/>
    <n v="181.5"/>
    <n v="12695"/>
    <x v="2"/>
    <n v="14880"/>
    <n v="2435"/>
    <x v="0"/>
  </r>
  <r>
    <n v="165"/>
    <n v="186.5"/>
    <n v="12770"/>
    <x v="3"/>
    <n v="14970"/>
    <n v="2450"/>
    <x v="2"/>
  </r>
  <r>
    <n v="166"/>
    <n v="222"/>
    <n v="12840"/>
    <x v="3"/>
    <n v="15060"/>
    <n v="2470"/>
    <x v="3"/>
  </r>
  <r>
    <n v="167"/>
    <n v="212.5"/>
    <n v="12905"/>
    <x v="4"/>
    <n v="15135"/>
    <n v="2480"/>
    <x v="0"/>
  </r>
  <r>
    <n v="168"/>
    <n v="211.5"/>
    <n v="12985"/>
    <x v="3"/>
    <n v="15225"/>
    <n v="2490"/>
    <x v="2"/>
  </r>
  <r>
    <n v="169"/>
    <n v="187.5"/>
    <n v="13075"/>
    <x v="2"/>
    <n v="15330"/>
    <n v="2505"/>
    <x v="1"/>
  </r>
  <r>
    <n v="170"/>
    <n v="183"/>
    <n v="13185"/>
    <x v="5"/>
    <n v="15450"/>
    <n v="2515"/>
    <x v="3"/>
  </r>
  <r>
    <n v="171"/>
    <n v="156"/>
    <n v="13300"/>
    <x v="5"/>
    <n v="15570"/>
    <n v="2520"/>
    <x v="2"/>
  </r>
  <r>
    <n v="172"/>
    <n v="167"/>
    <n v="13365"/>
    <x v="4"/>
    <n v="15645"/>
    <n v="2530"/>
    <x v="2"/>
  </r>
  <r>
    <n v="173"/>
    <n v="190"/>
    <n v="13420"/>
    <x v="4"/>
    <n v="15720"/>
    <n v="2550"/>
    <x v="2"/>
  </r>
  <r>
    <n v="174"/>
    <n v="154"/>
    <n v="13505"/>
    <x v="3"/>
    <n v="15810"/>
    <n v="2555"/>
    <x v="1"/>
  </r>
  <r>
    <n v="175"/>
    <n v="185.5"/>
    <n v="13575"/>
    <x v="3"/>
    <n v="15900"/>
    <n v="2575"/>
    <x v="3"/>
  </r>
  <r>
    <n v="176"/>
    <n v="181"/>
    <n v="13685"/>
    <x v="5"/>
    <n v="16020"/>
    <n v="2585"/>
    <x v="3"/>
  </r>
  <r>
    <n v="177"/>
    <n v="211"/>
    <n v="13715"/>
    <x v="1"/>
    <n v="16080"/>
    <n v="2615"/>
    <x v="1"/>
  </r>
  <r>
    <n v="178"/>
    <n v="226.5"/>
    <n v="13805"/>
    <x v="2"/>
    <n v="16185"/>
    <n v="2630"/>
    <x v="3"/>
  </r>
  <r>
    <n v="179"/>
    <n v="246"/>
    <n v="13870"/>
    <x v="4"/>
    <n v="16260"/>
    <n v="2640"/>
    <x v="3"/>
  </r>
  <r>
    <n v="180"/>
    <n v="210"/>
    <n v="13965"/>
    <x v="2"/>
    <n v="16365"/>
    <n v="2650"/>
    <x v="1"/>
  </r>
  <r>
    <n v="181"/>
    <n v="218.5"/>
    <n v="14025"/>
    <x v="4"/>
    <n v="16440"/>
    <n v="2665"/>
    <x v="0"/>
  </r>
  <r>
    <n v="182"/>
    <n v="183"/>
    <n v="14125"/>
    <x v="2"/>
    <n v="16545"/>
    <n v="2670"/>
    <x v="0"/>
  </r>
  <r>
    <n v="183"/>
    <n v="147.5"/>
    <n v="14240"/>
    <x v="5"/>
    <n v="16665"/>
    <n v="2675"/>
    <x v="0"/>
  </r>
  <r>
    <n v="184"/>
    <n v="124"/>
    <n v="14335"/>
    <x v="2"/>
    <n v="16770"/>
    <n v="2685"/>
    <x v="0"/>
  </r>
  <r>
    <n v="185"/>
    <n v="115.5"/>
    <n v="14435"/>
    <x v="2"/>
    <n v="16875"/>
    <n v="2690"/>
    <x v="3"/>
  </r>
  <r>
    <n v="186"/>
    <n v="149"/>
    <n v="14495"/>
    <x v="4"/>
    <n v="16950"/>
    <n v="2705"/>
    <x v="3"/>
  </r>
  <r>
    <n v="187"/>
    <n v="145.5"/>
    <n v="14580"/>
    <x v="2"/>
    <n v="17055"/>
    <n v="2725"/>
    <x v="0"/>
  </r>
  <r>
    <n v="188"/>
    <n v="150.5"/>
    <n v="14680"/>
    <x v="5"/>
    <n v="17175"/>
    <n v="2745"/>
    <x v="2"/>
  </r>
  <r>
    <n v="189"/>
    <n v="164"/>
    <n v="14770"/>
    <x v="2"/>
    <n v="17280"/>
    <n v="2760"/>
    <x v="3"/>
  </r>
  <r>
    <n v="190"/>
    <n v="201.5"/>
    <n v="14835"/>
    <x v="3"/>
    <n v="17370"/>
    <n v="2785"/>
    <x v="3"/>
  </r>
  <r>
    <n v="191"/>
    <n v="202.5"/>
    <n v="14925"/>
    <x v="2"/>
    <n v="17475"/>
    <n v="2800"/>
    <x v="2"/>
  </r>
  <r>
    <n v="192"/>
    <n v="203"/>
    <n v="15010"/>
    <x v="2"/>
    <n v="17580"/>
    <n v="2820"/>
    <x v="0"/>
  </r>
  <r>
    <n v="193"/>
    <n v="167"/>
    <n v="15105"/>
    <x v="2"/>
    <n v="17685"/>
    <n v="2830"/>
    <x v="1"/>
  </r>
  <r>
    <n v="194"/>
    <n v="158"/>
    <n v="15200"/>
    <x v="2"/>
    <n v="17790"/>
    <n v="2840"/>
    <x v="2"/>
  </r>
  <r>
    <n v="195"/>
    <n v="172.5"/>
    <n v="15255"/>
    <x v="4"/>
    <n v="17865"/>
    <n v="2860"/>
    <x v="0"/>
  </r>
  <r>
    <n v="196"/>
    <n v="208"/>
    <n v="15325"/>
    <x v="3"/>
    <n v="17955"/>
    <n v="2880"/>
    <x v="3"/>
  </r>
  <r>
    <n v="197"/>
    <n v="217"/>
    <n v="15400"/>
    <x v="3"/>
    <n v="18045"/>
    <n v="2895"/>
    <x v="2"/>
  </r>
  <r>
    <n v="198"/>
    <n v="218"/>
    <n v="15500"/>
    <x v="5"/>
    <n v="18165"/>
    <n v="2915"/>
    <x v="2"/>
  </r>
  <r>
    <n v="199"/>
    <n v="232.5"/>
    <n v="15565"/>
    <x v="3"/>
    <n v="18255"/>
    <n v="2940"/>
    <x v="0"/>
  </r>
  <r>
    <n v="200"/>
    <n v="180.5"/>
    <n v="15680"/>
    <x v="5"/>
    <n v="18375"/>
    <n v="2945"/>
    <x v="1"/>
  </r>
  <r>
    <n v="201"/>
    <n v="169"/>
    <n v="15770"/>
    <x v="2"/>
    <n v="18480"/>
    <n v="2960"/>
    <x v="0"/>
  </r>
  <r>
    <n v="202"/>
    <n v="157.5"/>
    <n v="15860"/>
    <x v="2"/>
    <n v="18585"/>
    <n v="2975"/>
    <x v="0"/>
  </r>
  <r>
    <n v="203"/>
    <n v="160"/>
    <n v="15945"/>
    <x v="2"/>
    <n v="18690"/>
    <n v="2995"/>
    <x v="0"/>
  </r>
  <r>
    <n v="204"/>
    <n v="175"/>
    <n v="16015"/>
    <x v="3"/>
    <n v="18780"/>
    <n v="3015"/>
    <x v="2"/>
  </r>
  <r>
    <n v="205"/>
    <n v="167"/>
    <n v="16075"/>
    <x v="4"/>
    <n v="18855"/>
    <n v="3030"/>
    <x v="1"/>
  </r>
  <r>
    <n v="206"/>
    <n v="184.5"/>
    <n v="16175"/>
    <x v="5"/>
    <n v="18975"/>
    <n v="3050"/>
    <x v="3"/>
  </r>
  <r>
    <n v="207"/>
    <n v="165.5"/>
    <n v="16285"/>
    <x v="5"/>
    <n v="19095"/>
    <n v="3060"/>
    <x v="2"/>
  </r>
  <r>
    <n v="208"/>
    <n v="176.5"/>
    <n v="16370"/>
    <x v="2"/>
    <n v="19200"/>
    <n v="3080"/>
    <x v="2"/>
  </r>
  <r>
    <n v="209"/>
    <n v="198"/>
    <n v="16445"/>
    <x v="3"/>
    <n v="19290"/>
    <n v="3095"/>
    <x v="3"/>
  </r>
  <r>
    <n v="210"/>
    <n v="164"/>
    <n v="16540"/>
    <x v="2"/>
    <n v="19395"/>
    <n v="3105"/>
    <x v="1"/>
  </r>
  <r>
    <n v="211"/>
    <n v="184"/>
    <n v="16575"/>
    <x v="1"/>
    <n v="19455"/>
    <n v="3130"/>
    <x v="1"/>
  </r>
  <r>
    <n v="212"/>
    <n v="190.5"/>
    <n v="16645"/>
    <x v="3"/>
    <n v="19545"/>
    <n v="3150"/>
    <x v="0"/>
  </r>
  <r>
    <n v="213"/>
    <n v="203.5"/>
    <n v="16720"/>
    <x v="3"/>
    <n v="19635"/>
    <n v="3165"/>
    <x v="2"/>
  </r>
  <r>
    <n v="214"/>
    <n v="214.5"/>
    <n v="16805"/>
    <x v="2"/>
    <n v="19740"/>
    <n v="3185"/>
    <x v="2"/>
  </r>
  <r>
    <n v="215"/>
    <n v="214.5"/>
    <n v="16860"/>
    <x v="4"/>
    <n v="19815"/>
    <n v="3205"/>
    <x v="1"/>
  </r>
  <r>
    <n v="216"/>
    <n v="219.5"/>
    <n v="16925"/>
    <x v="4"/>
    <n v="19890"/>
    <n v="3215"/>
    <x v="2"/>
  </r>
  <r>
    <n v="217"/>
    <n v="201.5"/>
    <n v="16990"/>
    <x v="4"/>
    <n v="19965"/>
    <n v="3225"/>
    <x v="1"/>
  </r>
  <r>
    <n v="218"/>
    <n v="176.5"/>
    <n v="17105"/>
    <x v="5"/>
    <n v="20085"/>
    <n v="3230"/>
    <x v="2"/>
  </r>
  <r>
    <n v="219"/>
    <n v="135"/>
    <n v="17220"/>
    <x v="5"/>
    <n v="20205"/>
    <n v="3235"/>
    <x v="0"/>
  </r>
  <r>
    <n v="220"/>
    <n v="105.5"/>
    <n v="17320"/>
    <x v="2"/>
    <n v="20310"/>
    <n v="3240"/>
    <x v="0"/>
  </r>
  <r>
    <n v="221"/>
    <n v="126.5"/>
    <n v="17390"/>
    <x v="3"/>
    <n v="20400"/>
    <n v="3260"/>
    <x v="2"/>
  </r>
  <r>
    <n v="222"/>
    <n v="129"/>
    <n v="17450"/>
    <x v="4"/>
    <n v="20475"/>
    <n v="3275"/>
    <x v="0"/>
  </r>
  <r>
    <n v="223"/>
    <n v="144"/>
    <n v="17510"/>
    <x v="4"/>
    <n v="20550"/>
    <n v="3290"/>
    <x v="2"/>
  </r>
  <r>
    <n v="224"/>
    <n v="160.5"/>
    <n v="17575"/>
    <x v="3"/>
    <n v="20640"/>
    <n v="3315"/>
    <x v="0"/>
  </r>
  <r>
    <n v="225"/>
    <n v="179.5"/>
    <n v="17625"/>
    <x v="1"/>
    <n v="20700"/>
    <n v="3325"/>
    <x v="2"/>
  </r>
  <r>
    <n v="226"/>
    <n v="180.5"/>
    <n v="17715"/>
    <x v="2"/>
    <n v="20805"/>
    <n v="3340"/>
    <x v="2"/>
  </r>
  <r>
    <n v="227"/>
    <n v="202"/>
    <n v="17790"/>
    <x v="3"/>
    <n v="20895"/>
    <n v="3355"/>
    <x v="3"/>
  </r>
  <r>
    <n v="228"/>
    <n v="217"/>
    <n v="17860"/>
    <x v="3"/>
    <n v="20985"/>
    <n v="3375"/>
    <x v="2"/>
  </r>
  <r>
    <n v="229"/>
    <n v="220"/>
    <n v="17940"/>
    <x v="3"/>
    <n v="21075"/>
    <n v="3385"/>
    <x v="2"/>
  </r>
  <r>
    <n v="230"/>
    <n v="223.5"/>
    <n v="18035"/>
    <x v="2"/>
    <n v="21180"/>
    <n v="3395"/>
    <x v="3"/>
  </r>
  <r>
    <n v="231"/>
    <n v="230.5"/>
    <n v="18120"/>
    <x v="2"/>
    <n v="21285"/>
    <n v="3415"/>
    <x v="2"/>
  </r>
  <r>
    <n v="232"/>
    <n v="217"/>
    <n v="18200"/>
    <x v="3"/>
    <n v="21375"/>
    <n v="3425"/>
    <x v="0"/>
  </r>
  <r>
    <n v="233"/>
    <n v="217.5"/>
    <n v="18275"/>
    <x v="3"/>
    <n v="21465"/>
    <n v="3440"/>
    <x v="0"/>
  </r>
  <r>
    <n v="234"/>
    <n v="238"/>
    <n v="18325"/>
    <x v="4"/>
    <n v="21540"/>
    <n v="3465"/>
    <x v="0"/>
  </r>
  <r>
    <n v="235"/>
    <n v="250"/>
    <n v="18350"/>
    <x v="6"/>
    <n v="21585"/>
    <n v="3485"/>
    <x v="0"/>
  </r>
  <r>
    <n v="236"/>
    <n v="196"/>
    <n v="18455"/>
    <x v="2"/>
    <n v="21690"/>
    <n v="3485"/>
    <x v="1"/>
  </r>
  <r>
    <n v="237"/>
    <n v="210"/>
    <n v="18495"/>
    <x v="1"/>
    <n v="21750"/>
    <n v="3505"/>
    <x v="1"/>
  </r>
  <r>
    <n v="238"/>
    <n v="158"/>
    <n v="18610"/>
    <x v="5"/>
    <n v="21870"/>
    <n v="3510"/>
    <x v="1"/>
  </r>
  <r>
    <n v="239"/>
    <n v="195.5"/>
    <n v="18665"/>
    <x v="4"/>
    <n v="21945"/>
    <n v="3530"/>
    <x v="3"/>
  </r>
  <r>
    <n v="240"/>
    <n v="208"/>
    <n v="18720"/>
    <x v="4"/>
    <n v="22020"/>
    <n v="3550"/>
    <x v="0"/>
  </r>
  <r>
    <n v="241"/>
    <n v="214"/>
    <n v="18775"/>
    <x v="4"/>
    <n v="22095"/>
    <n v="3570"/>
    <x v="1"/>
  </r>
  <r>
    <n v="242"/>
    <n v="249"/>
    <n v="18815"/>
    <x v="1"/>
    <n v="22155"/>
    <n v="3590"/>
    <x v="2"/>
  </r>
  <r>
    <n v="243"/>
    <n v="233.5"/>
    <n v="18905"/>
    <x v="2"/>
    <n v="22260"/>
    <n v="3605"/>
    <x v="0"/>
  </r>
  <r>
    <n v="244"/>
    <n v="250"/>
    <n v="18960"/>
    <x v="4"/>
    <n v="22335"/>
    <n v="3625"/>
    <x v="2"/>
  </r>
  <r>
    <n v="245"/>
    <n v="250"/>
    <n v="19045"/>
    <x v="3"/>
    <n v="22425"/>
    <n v="3630"/>
    <x v="3"/>
  </r>
  <r>
    <n v="246"/>
    <n v="250"/>
    <n v="19110"/>
    <x v="3"/>
    <n v="22515"/>
    <n v="3655"/>
    <x v="1"/>
  </r>
  <r>
    <n v="247"/>
    <n v="250"/>
    <n v="19165"/>
    <x v="4"/>
    <n v="22590"/>
    <n v="3675"/>
    <x v="1"/>
  </r>
  <r>
    <n v="248"/>
    <n v="250"/>
    <n v="19255"/>
    <x v="2"/>
    <n v="22695"/>
    <n v="3690"/>
    <x v="2"/>
  </r>
  <r>
    <n v="249"/>
    <n v="250"/>
    <n v="19315"/>
    <x v="4"/>
    <n v="22770"/>
    <n v="3705"/>
    <x v="3"/>
  </r>
  <r>
    <n v="250"/>
    <n v="250"/>
    <n v="19385"/>
    <x v="3"/>
    <n v="22860"/>
    <n v="3725"/>
    <x v="2"/>
  </r>
  <r>
    <n v="251"/>
    <n v="250"/>
    <n v="19440"/>
    <x v="4"/>
    <n v="22935"/>
    <n v="3745"/>
    <x v="1"/>
  </r>
  <r>
    <n v="252"/>
    <n v="234.5"/>
    <n v="19520"/>
    <x v="3"/>
    <n v="23025"/>
    <n v="3755"/>
    <x v="0"/>
  </r>
  <r>
    <n v="253"/>
    <n v="218.5"/>
    <n v="19605"/>
    <x v="2"/>
    <n v="23130"/>
    <n v="3775"/>
    <x v="1"/>
  </r>
  <r>
    <n v="254"/>
    <n v="235"/>
    <n v="19650"/>
    <x v="1"/>
    <n v="23190"/>
    <n v="3790"/>
    <x v="0"/>
  </r>
  <r>
    <n v="255"/>
    <n v="250"/>
    <n v="19725"/>
    <x v="3"/>
    <n v="23280"/>
    <n v="3805"/>
    <x v="3"/>
  </r>
  <r>
    <n v="256"/>
    <n v="250"/>
    <n v="19795"/>
    <x v="3"/>
    <n v="23370"/>
    <n v="3825"/>
    <x v="3"/>
  </r>
  <r>
    <n v="257"/>
    <n v="228"/>
    <n v="19885"/>
    <x v="2"/>
    <n v="23475"/>
    <n v="3840"/>
    <x v="1"/>
  </r>
  <r>
    <n v="258"/>
    <n v="250"/>
    <n v="19945"/>
    <x v="3"/>
    <n v="23565"/>
    <n v="3870"/>
    <x v="2"/>
  </r>
  <r>
    <n v="259"/>
    <n v="227"/>
    <n v="20060"/>
    <x v="5"/>
    <n v="23685"/>
    <n v="3875"/>
    <x v="2"/>
  </r>
  <r>
    <n v="260"/>
    <n v="250"/>
    <n v="20115"/>
    <x v="4"/>
    <n v="23760"/>
    <n v="389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DDD21-09CE-4F67-ABC6-78094C7DD0EA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 rowHeaderCaption="Hours Slept">
  <location ref="R22:S27" firstHeaderRow="1" firstDataRow="1" firstDataCol="1"/>
  <pivotFields count="7">
    <pivotField showAll="0"/>
    <pivotField showAll="0"/>
    <pivotField showAll="0"/>
    <pivotField showAll="0"/>
    <pivotField showAll="0"/>
    <pivotField showAll="0"/>
    <pivotField name="Hours Slept" axis="axisRow" dataField="1" showAll="0" sortType="ascending">
      <items count="9">
        <item m="1" x="4"/>
        <item m="1" x="7"/>
        <item m="1" x="6"/>
        <item m="1" x="5"/>
        <item x="1"/>
        <item x="0"/>
        <item x="2"/>
        <item x="3"/>
        <item t="default"/>
      </items>
    </pivotField>
  </pivotFields>
  <rowFields count="1">
    <field x="6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" fld="6" subtotal="count" baseField="6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265CF-1C23-413E-8C8A-48733C936BEF}" name="HoursWorked" cacheId="0" applyNumberFormats="0" applyBorderFormats="0" applyFontFormats="0" applyPatternFormats="0" applyAlignmentFormats="0" applyWidthHeightFormats="1" dataCaption="Valeurs" grandTotalCaption="Total" updatedVersion="8" minRefreshableVersion="3" useAutoFormatting="1" colGrandTotals="0" itemPrintTitles="1" createdVersion="8" indent="0" outline="1" outlineData="1" multipleFieldFilters="0" chartFormat="6" rowHeaderCaption="Hours Worked">
  <location ref="R6:S14" firstHeaderRow="1" firstDataRow="1" firstDataCol="1"/>
  <pivotFields count="7">
    <pivotField showAll="0"/>
    <pivotField showAll="0"/>
    <pivotField showAll="0"/>
    <pivotField name="Hours Worked" axis="axisRow" dataField="1" showAll="0" sortType="ascending">
      <items count="10">
        <item x="0"/>
        <item m="1" x="8"/>
        <item m="1" x="7"/>
        <item x="6"/>
        <item x="1"/>
        <item x="4"/>
        <item x="3"/>
        <item x="2"/>
        <item x="5"/>
        <item t="default"/>
      </items>
    </pivotField>
    <pivotField showAll="0"/>
    <pivotField showAll="0"/>
    <pivotField showAll="0"/>
  </pivotFields>
  <rowFields count="1">
    <field x="3"/>
  </rowFields>
  <rowItems count="8">
    <i>
      <x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" fld="3" subtotal="count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D37252-17F6-4821-B4DC-310FC4EC5034}" name="Tableau1" displayName="Tableau1" ref="A1:G43" totalsRowShown="0">
  <autoFilter ref="A1:G43" xr:uid="{F5D37252-17F6-4821-B4DC-310FC4EC5034}"/>
  <tableColumns count="7">
    <tableColumn id="1" xr3:uid="{590FA4D9-EE8D-43BC-9D86-B0EB0A6D032B}" name="Day" dataDxfId="1"/>
    <tableColumn id="2" xr3:uid="{43A7EBBD-BBC4-4915-B640-1778801B1597}" name="Energy" dataDxfId="0"/>
    <tableColumn id="3" xr3:uid="{2882C0BA-4E2C-41F9-A005-09F9C2E0ED9B}" name="Money"/>
    <tableColumn id="4" xr3:uid="{03054264-B6E2-43EB-8F2A-F7EB0548B19B}" name="TimeWorked"/>
    <tableColumn id="5" xr3:uid="{F4631F47-A330-4242-B3EB-EC008A3A8EBC}" name="TotalMoneyIn"/>
    <tableColumn id="6" xr3:uid="{884952B1-CAD3-4E9B-94AC-7E5CB55C8357}" name="TotalMoneyOut"/>
    <tableColumn id="7" xr3:uid="{4FAAA003-C6D4-4015-81DA-EFD1276683F0}" name="HoursSlep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B87AB-4F36-49A1-843C-03F62A8D6CB1}">
  <dimension ref="A1:X43"/>
  <sheetViews>
    <sheetView tabSelected="1" zoomScaleNormal="100" workbookViewId="0">
      <selection activeCell="A2" sqref="A2:G43"/>
    </sheetView>
  </sheetViews>
  <sheetFormatPr defaultColWidth="11.42578125" defaultRowHeight="15" x14ac:dyDescent="0.25"/>
  <cols>
    <col min="1" max="1" width="6.7109375" bestFit="1" customWidth="1"/>
    <col min="2" max="2" width="9.42578125" bestFit="1" customWidth="1"/>
    <col min="3" max="3" width="9.28515625" bestFit="1" customWidth="1"/>
    <col min="4" max="4" width="14.7109375" bestFit="1" customWidth="1"/>
    <col min="5" max="5" width="15.42578125" bestFit="1" customWidth="1"/>
    <col min="6" max="6" width="17" bestFit="1" customWidth="1"/>
    <col min="7" max="7" width="19.28515625" bestFit="1" customWidth="1"/>
    <col min="8" max="8" width="3" customWidth="1"/>
    <col min="9" max="16" width="9.140625" customWidth="1"/>
    <col min="17" max="17" width="3.140625" customWidth="1"/>
    <col min="18" max="18" width="16.140625" bestFit="1" customWidth="1"/>
    <col min="19" max="19" width="6.5703125" bestFit="1" customWidth="1"/>
    <col min="20" max="26" width="10.1406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K1" s="6" t="s">
        <v>12</v>
      </c>
      <c r="L1" s="6"/>
      <c r="M1" s="6"/>
      <c r="N1" s="6"/>
      <c r="V1" s="4" t="s">
        <v>11</v>
      </c>
      <c r="W1" s="4"/>
      <c r="X1" s="4"/>
    </row>
    <row r="2" spans="1:24" ht="15" customHeight="1" x14ac:dyDescent="0.25">
      <c r="A2">
        <v>0</v>
      </c>
      <c r="B2">
        <v>250</v>
      </c>
      <c r="C2">
        <v>250</v>
      </c>
      <c r="D2">
        <v>0</v>
      </c>
      <c r="E2">
        <v>0</v>
      </c>
      <c r="F2">
        <v>0</v>
      </c>
      <c r="G2">
        <v>4</v>
      </c>
      <c r="K2" s="5">
        <f>AVERAGE(Tableau1[Energy])</f>
        <v>217.20238095238096</v>
      </c>
      <c r="L2" s="5"/>
      <c r="M2" s="5"/>
      <c r="N2" s="5"/>
      <c r="V2" s="3">
        <f>MAX(Tableau1[Money])</f>
        <v>3465</v>
      </c>
      <c r="W2" s="3"/>
      <c r="X2" s="3"/>
    </row>
    <row r="3" spans="1:24" ht="15" customHeight="1" x14ac:dyDescent="0.25">
      <c r="A3">
        <v>1</v>
      </c>
      <c r="B3">
        <v>220.5</v>
      </c>
      <c r="C3">
        <v>360</v>
      </c>
      <c r="D3">
        <v>8</v>
      </c>
      <c r="E3">
        <v>120</v>
      </c>
      <c r="F3">
        <v>10</v>
      </c>
      <c r="G3">
        <v>5</v>
      </c>
      <c r="K3" s="5"/>
      <c r="L3" s="5"/>
      <c r="M3" s="5"/>
      <c r="N3" s="5"/>
      <c r="V3" s="3"/>
      <c r="W3" s="3"/>
      <c r="X3" s="3"/>
    </row>
    <row r="4" spans="1:24" ht="15" customHeight="1" x14ac:dyDescent="0.25">
      <c r="A4">
        <v>2</v>
      </c>
      <c r="B4">
        <v>191</v>
      </c>
      <c r="C4">
        <v>470</v>
      </c>
      <c r="D4">
        <v>8</v>
      </c>
      <c r="E4">
        <v>240</v>
      </c>
      <c r="F4">
        <v>20</v>
      </c>
      <c r="G4">
        <v>5</v>
      </c>
      <c r="K4" s="5"/>
      <c r="L4" s="5"/>
      <c r="M4" s="5"/>
      <c r="N4" s="5"/>
      <c r="V4" s="3"/>
      <c r="W4" s="3"/>
      <c r="X4" s="3"/>
    </row>
    <row r="5" spans="1:24" x14ac:dyDescent="0.25">
      <c r="A5">
        <v>3</v>
      </c>
      <c r="B5">
        <v>213.5</v>
      </c>
      <c r="C5">
        <v>510</v>
      </c>
      <c r="D5">
        <v>4</v>
      </c>
      <c r="E5">
        <v>300</v>
      </c>
      <c r="F5">
        <v>40</v>
      </c>
      <c r="G5">
        <v>5</v>
      </c>
    </row>
    <row r="6" spans="1:24" x14ac:dyDescent="0.25">
      <c r="A6">
        <v>4</v>
      </c>
      <c r="B6">
        <v>199.5</v>
      </c>
      <c r="C6">
        <v>595</v>
      </c>
      <c r="D6">
        <v>7</v>
      </c>
      <c r="E6">
        <v>405</v>
      </c>
      <c r="F6">
        <v>60</v>
      </c>
      <c r="G6">
        <v>4</v>
      </c>
      <c r="R6" s="1" t="s">
        <v>7</v>
      </c>
      <c r="S6" t="s">
        <v>6</v>
      </c>
    </row>
    <row r="7" spans="1:24" x14ac:dyDescent="0.25">
      <c r="A7">
        <v>5</v>
      </c>
      <c r="B7">
        <v>195</v>
      </c>
      <c r="C7">
        <v>705</v>
      </c>
      <c r="D7">
        <v>8</v>
      </c>
      <c r="E7">
        <v>525</v>
      </c>
      <c r="F7">
        <v>70</v>
      </c>
      <c r="G7">
        <v>7</v>
      </c>
      <c r="R7" s="2">
        <v>0</v>
      </c>
      <c r="S7">
        <v>1</v>
      </c>
    </row>
    <row r="8" spans="1:24" x14ac:dyDescent="0.25">
      <c r="A8">
        <v>6</v>
      </c>
      <c r="B8">
        <v>181</v>
      </c>
      <c r="C8">
        <v>790</v>
      </c>
      <c r="D8">
        <v>7</v>
      </c>
      <c r="E8">
        <v>630</v>
      </c>
      <c r="F8">
        <v>90</v>
      </c>
      <c r="G8">
        <v>4</v>
      </c>
      <c r="R8" s="2">
        <v>3</v>
      </c>
      <c r="S8">
        <v>5</v>
      </c>
    </row>
    <row r="9" spans="1:24" x14ac:dyDescent="0.25">
      <c r="A9">
        <v>7</v>
      </c>
      <c r="B9">
        <v>187</v>
      </c>
      <c r="C9">
        <v>855</v>
      </c>
      <c r="D9">
        <v>6</v>
      </c>
      <c r="E9">
        <v>720</v>
      </c>
      <c r="F9">
        <v>115</v>
      </c>
      <c r="G9">
        <v>4</v>
      </c>
      <c r="R9" s="2">
        <v>4</v>
      </c>
      <c r="S9">
        <v>19</v>
      </c>
    </row>
    <row r="10" spans="1:24" x14ac:dyDescent="0.25">
      <c r="A10">
        <v>8</v>
      </c>
      <c r="B10">
        <v>197</v>
      </c>
      <c r="C10">
        <v>905</v>
      </c>
      <c r="D10">
        <v>5</v>
      </c>
      <c r="E10">
        <v>795</v>
      </c>
      <c r="F10">
        <v>140</v>
      </c>
      <c r="G10">
        <v>4</v>
      </c>
      <c r="R10" s="2">
        <v>5</v>
      </c>
      <c r="S10">
        <v>58</v>
      </c>
    </row>
    <row r="11" spans="1:24" x14ac:dyDescent="0.25">
      <c r="A11">
        <v>9</v>
      </c>
      <c r="B11">
        <v>183.5</v>
      </c>
      <c r="C11">
        <v>985</v>
      </c>
      <c r="D11">
        <v>6</v>
      </c>
      <c r="E11">
        <v>885</v>
      </c>
      <c r="F11">
        <v>150</v>
      </c>
      <c r="G11">
        <v>5</v>
      </c>
      <c r="R11" s="2">
        <v>6</v>
      </c>
      <c r="S11">
        <v>74</v>
      </c>
    </row>
    <row r="12" spans="1:24" x14ac:dyDescent="0.25">
      <c r="A12">
        <v>10</v>
      </c>
      <c r="B12">
        <v>191</v>
      </c>
      <c r="C12">
        <v>1080</v>
      </c>
      <c r="D12">
        <v>7</v>
      </c>
      <c r="E12">
        <v>990</v>
      </c>
      <c r="F12">
        <v>160</v>
      </c>
      <c r="G12">
        <v>7</v>
      </c>
      <c r="R12" s="2">
        <v>7</v>
      </c>
      <c r="S12">
        <v>73</v>
      </c>
    </row>
    <row r="13" spans="1:24" x14ac:dyDescent="0.25">
      <c r="A13">
        <v>11</v>
      </c>
      <c r="B13">
        <v>199.5</v>
      </c>
      <c r="C13">
        <v>1125</v>
      </c>
      <c r="D13">
        <v>4</v>
      </c>
      <c r="E13">
        <v>1050</v>
      </c>
      <c r="F13">
        <v>175</v>
      </c>
      <c r="G13">
        <v>5</v>
      </c>
      <c r="R13" s="2">
        <v>8</v>
      </c>
      <c r="S13">
        <v>31</v>
      </c>
    </row>
    <row r="14" spans="1:24" x14ac:dyDescent="0.25">
      <c r="A14">
        <v>12</v>
      </c>
      <c r="B14">
        <v>200.5</v>
      </c>
      <c r="C14">
        <v>1215</v>
      </c>
      <c r="D14">
        <v>7</v>
      </c>
      <c r="E14">
        <v>1155</v>
      </c>
      <c r="F14">
        <v>190</v>
      </c>
      <c r="G14">
        <v>6</v>
      </c>
      <c r="R14" s="2" t="s">
        <v>13</v>
      </c>
      <c r="S14">
        <v>261</v>
      </c>
    </row>
    <row r="15" spans="1:24" x14ac:dyDescent="0.25">
      <c r="A15">
        <v>13</v>
      </c>
      <c r="B15">
        <v>225</v>
      </c>
      <c r="C15">
        <v>1265</v>
      </c>
      <c r="D15">
        <v>5</v>
      </c>
      <c r="E15">
        <v>1230</v>
      </c>
      <c r="F15">
        <v>215</v>
      </c>
      <c r="G15">
        <v>5</v>
      </c>
    </row>
    <row r="16" spans="1:24" x14ac:dyDescent="0.25">
      <c r="A16">
        <v>14</v>
      </c>
      <c r="B16">
        <v>248</v>
      </c>
      <c r="C16">
        <v>1345</v>
      </c>
      <c r="D16">
        <v>7</v>
      </c>
      <c r="E16">
        <v>1335</v>
      </c>
      <c r="F16">
        <v>240</v>
      </c>
      <c r="G16">
        <v>6</v>
      </c>
    </row>
    <row r="17" spans="1:19" x14ac:dyDescent="0.25">
      <c r="A17">
        <v>15</v>
      </c>
      <c r="B17">
        <v>234.5</v>
      </c>
      <c r="C17">
        <v>1435</v>
      </c>
      <c r="D17">
        <v>7</v>
      </c>
      <c r="E17">
        <v>1440</v>
      </c>
      <c r="F17">
        <v>255</v>
      </c>
      <c r="G17">
        <v>5</v>
      </c>
    </row>
    <row r="18" spans="1:19" x14ac:dyDescent="0.25">
      <c r="A18">
        <v>16</v>
      </c>
      <c r="B18">
        <v>243.5</v>
      </c>
      <c r="C18">
        <v>1510</v>
      </c>
      <c r="D18">
        <v>6</v>
      </c>
      <c r="E18">
        <v>1530</v>
      </c>
      <c r="F18">
        <v>270</v>
      </c>
      <c r="G18">
        <v>6</v>
      </c>
    </row>
    <row r="19" spans="1:19" x14ac:dyDescent="0.25">
      <c r="A19">
        <v>17</v>
      </c>
      <c r="B19">
        <v>242</v>
      </c>
      <c r="C19">
        <v>1595</v>
      </c>
      <c r="D19">
        <v>7</v>
      </c>
      <c r="E19">
        <v>1635</v>
      </c>
      <c r="F19">
        <v>290</v>
      </c>
      <c r="G19">
        <v>5</v>
      </c>
    </row>
    <row r="20" spans="1:19" x14ac:dyDescent="0.25">
      <c r="A20">
        <v>18</v>
      </c>
      <c r="B20">
        <v>250</v>
      </c>
      <c r="C20">
        <v>1645</v>
      </c>
      <c r="D20">
        <v>5</v>
      </c>
      <c r="E20">
        <v>1710</v>
      </c>
      <c r="F20">
        <v>315</v>
      </c>
      <c r="G20">
        <v>6</v>
      </c>
    </row>
    <row r="21" spans="1:19" x14ac:dyDescent="0.25">
      <c r="A21">
        <v>19</v>
      </c>
      <c r="B21">
        <v>250</v>
      </c>
      <c r="C21">
        <v>1705</v>
      </c>
      <c r="D21">
        <v>5</v>
      </c>
      <c r="E21">
        <v>1785</v>
      </c>
      <c r="F21">
        <v>330</v>
      </c>
      <c r="G21">
        <v>7</v>
      </c>
    </row>
    <row r="22" spans="1:19" x14ac:dyDescent="0.25">
      <c r="A22">
        <v>20</v>
      </c>
      <c r="B22">
        <v>250</v>
      </c>
      <c r="C22">
        <v>1765</v>
      </c>
      <c r="D22">
        <v>5</v>
      </c>
      <c r="E22">
        <v>1860</v>
      </c>
      <c r="F22">
        <v>345</v>
      </c>
      <c r="G22">
        <v>6</v>
      </c>
      <c r="R22" s="1" t="s">
        <v>10</v>
      </c>
      <c r="S22" t="s">
        <v>6</v>
      </c>
    </row>
    <row r="23" spans="1:19" x14ac:dyDescent="0.25">
      <c r="A23">
        <v>21</v>
      </c>
      <c r="B23">
        <v>216</v>
      </c>
      <c r="C23">
        <v>1860</v>
      </c>
      <c r="D23">
        <v>7</v>
      </c>
      <c r="E23">
        <v>1965</v>
      </c>
      <c r="F23">
        <v>355</v>
      </c>
      <c r="G23">
        <v>4</v>
      </c>
      <c r="R23" s="2">
        <v>4</v>
      </c>
      <c r="S23">
        <v>60</v>
      </c>
    </row>
    <row r="24" spans="1:19" x14ac:dyDescent="0.25">
      <c r="A24">
        <v>22</v>
      </c>
      <c r="B24">
        <v>247.5</v>
      </c>
      <c r="C24">
        <v>1930</v>
      </c>
      <c r="D24">
        <v>6</v>
      </c>
      <c r="E24">
        <v>2055</v>
      </c>
      <c r="F24">
        <v>375</v>
      </c>
      <c r="G24">
        <v>7</v>
      </c>
      <c r="R24" s="2">
        <v>5</v>
      </c>
      <c r="S24">
        <v>70</v>
      </c>
    </row>
    <row r="25" spans="1:19" x14ac:dyDescent="0.25">
      <c r="A25">
        <v>23</v>
      </c>
      <c r="B25">
        <v>216</v>
      </c>
      <c r="C25">
        <v>2030</v>
      </c>
      <c r="D25">
        <v>7</v>
      </c>
      <c r="E25">
        <v>2160</v>
      </c>
      <c r="F25">
        <v>380</v>
      </c>
      <c r="G25">
        <v>5</v>
      </c>
      <c r="R25" s="2">
        <v>6</v>
      </c>
      <c r="S25">
        <v>66</v>
      </c>
    </row>
    <row r="26" spans="1:19" x14ac:dyDescent="0.25">
      <c r="A26">
        <v>24</v>
      </c>
      <c r="B26">
        <v>235.5</v>
      </c>
      <c r="C26">
        <v>2095</v>
      </c>
      <c r="D26">
        <v>5</v>
      </c>
      <c r="E26">
        <v>2235</v>
      </c>
      <c r="F26">
        <v>390</v>
      </c>
      <c r="G26">
        <v>7</v>
      </c>
      <c r="R26" s="2">
        <v>7</v>
      </c>
      <c r="S26">
        <v>65</v>
      </c>
    </row>
    <row r="27" spans="1:19" x14ac:dyDescent="0.25">
      <c r="A27">
        <v>25</v>
      </c>
      <c r="B27">
        <v>214</v>
      </c>
      <c r="C27">
        <v>2190</v>
      </c>
      <c r="D27">
        <v>7</v>
      </c>
      <c r="E27">
        <v>2340</v>
      </c>
      <c r="F27">
        <v>400</v>
      </c>
      <c r="G27">
        <v>5</v>
      </c>
      <c r="R27" s="2" t="s">
        <v>9</v>
      </c>
      <c r="S27">
        <v>261</v>
      </c>
    </row>
    <row r="28" spans="1:19" x14ac:dyDescent="0.25">
      <c r="A28">
        <v>26</v>
      </c>
      <c r="B28">
        <v>233</v>
      </c>
      <c r="C28">
        <v>2260</v>
      </c>
      <c r="D28">
        <v>6</v>
      </c>
      <c r="E28">
        <v>2430</v>
      </c>
      <c r="F28">
        <v>420</v>
      </c>
      <c r="G28">
        <v>6</v>
      </c>
    </row>
    <row r="29" spans="1:19" x14ac:dyDescent="0.25">
      <c r="A29">
        <v>27</v>
      </c>
      <c r="B29">
        <v>220</v>
      </c>
      <c r="C29">
        <v>2370</v>
      </c>
      <c r="D29">
        <v>8</v>
      </c>
      <c r="E29">
        <v>2550</v>
      </c>
      <c r="F29">
        <v>430</v>
      </c>
      <c r="G29">
        <v>6</v>
      </c>
    </row>
    <row r="30" spans="1:19" x14ac:dyDescent="0.25">
      <c r="A30">
        <v>28</v>
      </c>
      <c r="B30">
        <v>174</v>
      </c>
      <c r="C30">
        <v>2480</v>
      </c>
      <c r="D30">
        <v>8</v>
      </c>
      <c r="E30">
        <v>2670</v>
      </c>
      <c r="F30">
        <v>440</v>
      </c>
      <c r="G30">
        <v>4</v>
      </c>
    </row>
    <row r="31" spans="1:19" x14ac:dyDescent="0.25">
      <c r="A31">
        <v>29</v>
      </c>
      <c r="B31">
        <v>166.5</v>
      </c>
      <c r="C31">
        <v>2570</v>
      </c>
      <c r="D31">
        <v>7</v>
      </c>
      <c r="E31">
        <v>2775</v>
      </c>
      <c r="F31">
        <v>455</v>
      </c>
      <c r="G31">
        <v>5</v>
      </c>
    </row>
    <row r="32" spans="1:19" x14ac:dyDescent="0.25">
      <c r="A32">
        <v>30</v>
      </c>
      <c r="B32">
        <v>169</v>
      </c>
      <c r="C32">
        <v>2640</v>
      </c>
      <c r="D32">
        <v>6</v>
      </c>
      <c r="E32">
        <v>2865</v>
      </c>
      <c r="F32">
        <v>475</v>
      </c>
      <c r="G32">
        <v>5</v>
      </c>
    </row>
    <row r="33" spans="1:7" x14ac:dyDescent="0.25">
      <c r="A33">
        <v>31</v>
      </c>
      <c r="B33">
        <v>173.5</v>
      </c>
      <c r="C33">
        <v>2700</v>
      </c>
      <c r="D33">
        <v>5</v>
      </c>
      <c r="E33">
        <v>2940</v>
      </c>
      <c r="F33">
        <v>490</v>
      </c>
      <c r="G33">
        <v>5</v>
      </c>
    </row>
    <row r="34" spans="1:7" x14ac:dyDescent="0.25">
      <c r="A34">
        <v>32</v>
      </c>
      <c r="B34">
        <v>189</v>
      </c>
      <c r="C34">
        <v>2780</v>
      </c>
      <c r="D34">
        <v>6</v>
      </c>
      <c r="E34">
        <v>3030</v>
      </c>
      <c r="F34">
        <v>500</v>
      </c>
      <c r="G34">
        <v>7</v>
      </c>
    </row>
    <row r="35" spans="1:7" x14ac:dyDescent="0.25">
      <c r="A35">
        <v>33</v>
      </c>
      <c r="B35">
        <v>240.5</v>
      </c>
      <c r="C35">
        <v>2840</v>
      </c>
      <c r="D35">
        <v>6</v>
      </c>
      <c r="E35">
        <v>3120</v>
      </c>
      <c r="F35">
        <v>530</v>
      </c>
      <c r="G35">
        <v>7</v>
      </c>
    </row>
    <row r="36" spans="1:7" x14ac:dyDescent="0.25">
      <c r="A36">
        <v>34</v>
      </c>
      <c r="B36">
        <v>232.5</v>
      </c>
      <c r="C36">
        <v>2900</v>
      </c>
      <c r="D36">
        <v>5</v>
      </c>
      <c r="E36">
        <v>3195</v>
      </c>
      <c r="F36">
        <v>545</v>
      </c>
      <c r="G36">
        <v>4</v>
      </c>
    </row>
    <row r="37" spans="1:7" x14ac:dyDescent="0.25">
      <c r="A37">
        <v>35</v>
      </c>
      <c r="B37">
        <v>250</v>
      </c>
      <c r="C37">
        <v>2975</v>
      </c>
      <c r="D37">
        <v>6</v>
      </c>
      <c r="E37">
        <v>3285</v>
      </c>
      <c r="F37">
        <v>560</v>
      </c>
      <c r="G37">
        <v>7</v>
      </c>
    </row>
    <row r="38" spans="1:7" x14ac:dyDescent="0.25">
      <c r="A38">
        <v>36</v>
      </c>
      <c r="B38">
        <v>244.5</v>
      </c>
      <c r="C38">
        <v>3040</v>
      </c>
      <c r="D38">
        <v>5</v>
      </c>
      <c r="E38">
        <v>3360</v>
      </c>
      <c r="F38">
        <v>570</v>
      </c>
      <c r="G38">
        <v>5</v>
      </c>
    </row>
    <row r="39" spans="1:7" x14ac:dyDescent="0.25">
      <c r="A39">
        <v>37</v>
      </c>
      <c r="B39">
        <v>215</v>
      </c>
      <c r="C39">
        <v>3150</v>
      </c>
      <c r="D39">
        <v>8</v>
      </c>
      <c r="E39">
        <v>3480</v>
      </c>
      <c r="F39">
        <v>580</v>
      </c>
      <c r="G39">
        <v>5</v>
      </c>
    </row>
    <row r="40" spans="1:7" x14ac:dyDescent="0.25">
      <c r="A40">
        <v>38</v>
      </c>
      <c r="B40">
        <v>215.5</v>
      </c>
      <c r="C40">
        <v>3235</v>
      </c>
      <c r="D40">
        <v>7</v>
      </c>
      <c r="E40">
        <v>3585</v>
      </c>
      <c r="F40">
        <v>600</v>
      </c>
      <c r="G40">
        <v>5</v>
      </c>
    </row>
    <row r="41" spans="1:7" x14ac:dyDescent="0.25">
      <c r="A41">
        <v>39</v>
      </c>
      <c r="B41">
        <v>232.5</v>
      </c>
      <c r="C41">
        <v>3305</v>
      </c>
      <c r="D41">
        <v>6</v>
      </c>
      <c r="E41">
        <v>3675</v>
      </c>
      <c r="F41">
        <v>620</v>
      </c>
      <c r="G41">
        <v>6</v>
      </c>
    </row>
    <row r="42" spans="1:7" x14ac:dyDescent="0.25">
      <c r="A42">
        <v>40</v>
      </c>
      <c r="B42">
        <v>250</v>
      </c>
      <c r="C42">
        <v>3390</v>
      </c>
      <c r="D42">
        <v>7</v>
      </c>
      <c r="E42">
        <v>3780</v>
      </c>
      <c r="F42">
        <v>640</v>
      </c>
      <c r="G42">
        <v>7</v>
      </c>
    </row>
    <row r="43" spans="1:7" x14ac:dyDescent="0.25">
      <c r="A43">
        <v>41</v>
      </c>
      <c r="B43">
        <v>236</v>
      </c>
      <c r="C43">
        <v>3465</v>
      </c>
      <c r="D43">
        <v>6</v>
      </c>
      <c r="E43">
        <v>3870</v>
      </c>
      <c r="F43">
        <v>655</v>
      </c>
      <c r="G43">
        <v>4</v>
      </c>
    </row>
  </sheetData>
  <mergeCells count="4">
    <mergeCell ref="V2:X4"/>
    <mergeCell ref="V1:X1"/>
    <mergeCell ref="K2:N4"/>
    <mergeCell ref="K1:N1"/>
  </mergeCells>
  <pageMargins left="0.7" right="0.7" top="0.75" bottom="0.75" header="0.3" footer="0.3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Heaven</cp:lastModifiedBy>
  <dcterms:created xsi:type="dcterms:W3CDTF">2025-07-31T13:00:10Z</dcterms:created>
  <dcterms:modified xsi:type="dcterms:W3CDTF">2025-11-16T11:16:24Z</dcterms:modified>
</cp:coreProperties>
</file>